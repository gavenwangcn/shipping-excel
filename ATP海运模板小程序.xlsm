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wmf" ContentType="image/x-wmf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19200" windowHeight="7000" activeTab="1"/>
  </bookViews>
  <sheets>
    <sheet name="INVOICE" sheetId="10" r:id="rId1"/>
    <sheet name="PL" sheetId="11" r:id="rId2"/>
    <sheet name="数据" sheetId="9" r:id="rId3"/>
  </sheets>
  <definedNames>
    <definedName name="_xlnm._FilterDatabase" localSheetId="2" hidden="1">数据!$A$1:$AB$1187</definedName>
    <definedName name="_xlnm.Print_Area" localSheetId="0">INVOICE!$A$1:$G$22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杨兵</author>
    <author>96602</author>
  </authors>
  <commentList>
    <comment ref="A1" authorId="0">
      <text>
        <r>
          <rPr>
            <b/>
            <sz val="9"/>
            <color indexed="8"/>
            <rFont val="宋体"/>
            <charset val="134"/>
          </rPr>
          <t>杨兵:</t>
        </r>
        <r>
          <rPr>
            <sz val="9"/>
            <color indexed="8"/>
            <rFont val="宋体"/>
            <charset val="134"/>
          </rPr>
          <t xml:space="preserve">
固定内容</t>
        </r>
      </text>
    </comment>
    <comment ref="G3" authorId="1">
      <text>
        <r>
          <rPr>
            <b/>
            <sz val="9"/>
            <rFont val="宋体"/>
            <charset val="134"/>
          </rPr>
          <t>96602:</t>
        </r>
        <r>
          <rPr>
            <sz val="9"/>
            <rFont val="宋体"/>
            <charset val="134"/>
          </rPr>
          <t xml:space="preserve">
取数据表E列，一个集装箱号一份单据</t>
        </r>
      </text>
    </comment>
    <comment ref="A5" authorId="1">
      <text>
        <r>
          <rPr>
            <b/>
            <sz val="9"/>
            <rFont val="宋体"/>
            <charset val="134"/>
          </rPr>
          <t>96602:</t>
        </r>
        <r>
          <rPr>
            <sz val="9"/>
            <rFont val="宋体"/>
            <charset val="134"/>
          </rPr>
          <t xml:space="preserve">
取C列CI NO，并按照逻辑-1 -2这样编下去</t>
        </r>
      </text>
    </comment>
    <comment ref="A7" authorId="1">
      <text>
        <r>
          <rPr>
            <b/>
            <sz val="9"/>
            <rFont val="宋体"/>
            <charset val="134"/>
          </rPr>
          <t>96602:  取AC港口列</t>
        </r>
      </text>
    </comment>
    <comment ref="B12" authorId="1">
      <text>
        <r>
          <rPr>
            <b/>
            <sz val="9"/>
            <rFont val="宋体"/>
            <charset val="134"/>
          </rPr>
          <t>96602:</t>
        </r>
        <r>
          <rPr>
            <sz val="9"/>
            <rFont val="宋体"/>
            <charset val="134"/>
          </rPr>
          <t xml:space="preserve">
k列</t>
        </r>
      </text>
    </comment>
    <comment ref="C12" authorId="1">
      <text>
        <r>
          <rPr>
            <b/>
            <sz val="9"/>
            <rFont val="宋体"/>
            <charset val="134"/>
          </rPr>
          <t>96602:</t>
        </r>
        <r>
          <rPr>
            <sz val="9"/>
            <rFont val="宋体"/>
            <charset val="134"/>
          </rPr>
          <t xml:space="preserve">
M列</t>
        </r>
      </text>
    </comment>
    <comment ref="D12" authorId="1">
      <text>
        <r>
          <rPr>
            <b/>
            <sz val="9"/>
            <rFont val="宋体"/>
            <charset val="134"/>
          </rPr>
          <t>96602:</t>
        </r>
        <r>
          <rPr>
            <sz val="9"/>
            <rFont val="宋体"/>
            <charset val="134"/>
          </rPr>
          <t xml:space="preserve">
AD列</t>
        </r>
      </text>
    </comment>
    <comment ref="E12" authorId="1">
      <text>
        <r>
          <rPr>
            <b/>
            <sz val="9"/>
            <rFont val="宋体"/>
            <charset val="134"/>
          </rPr>
          <t>96602:</t>
        </r>
        <r>
          <rPr>
            <sz val="9"/>
            <rFont val="宋体"/>
            <charset val="134"/>
          </rPr>
          <t xml:space="preserve">
O列</t>
        </r>
      </text>
    </comment>
    <comment ref="F12" authorId="1">
      <text>
        <r>
          <rPr>
            <b/>
            <sz val="9"/>
            <rFont val="宋体"/>
            <charset val="134"/>
          </rPr>
          <t>96602:</t>
        </r>
        <r>
          <rPr>
            <sz val="9"/>
            <rFont val="宋体"/>
            <charset val="134"/>
          </rPr>
          <t xml:space="preserve">
P列</t>
        </r>
      </text>
    </comment>
    <comment ref="G12" authorId="1">
      <text>
        <r>
          <rPr>
            <b/>
            <sz val="9"/>
            <rFont val="宋体"/>
            <charset val="134"/>
          </rPr>
          <t>96602:</t>
        </r>
        <r>
          <rPr>
            <sz val="9"/>
            <rFont val="宋体"/>
            <charset val="134"/>
          </rPr>
          <t xml:space="preserve">
E列*f列</t>
        </r>
      </text>
    </comment>
    <comment ref="H12" authorId="1">
      <text>
        <r>
          <rPr>
            <b/>
            <sz val="9"/>
            <rFont val="宋体"/>
            <charset val="134"/>
          </rPr>
          <t>96602:</t>
        </r>
        <r>
          <rPr>
            <sz val="9"/>
            <rFont val="宋体"/>
            <charset val="134"/>
          </rPr>
          <t xml:space="preserve">
n列</t>
        </r>
      </text>
    </comment>
    <comment ref="G14" authorId="1">
      <text>
        <r>
          <rPr>
            <b/>
            <sz val="9"/>
            <rFont val="宋体"/>
            <charset val="134"/>
          </rPr>
          <t>96602:</t>
        </r>
        <r>
          <rPr>
            <sz val="9"/>
            <rFont val="宋体"/>
            <charset val="134"/>
          </rPr>
          <t xml:space="preserve">
单个集装箱Q列总和</t>
        </r>
      </text>
    </comment>
    <comment ref="G15" authorId="1">
      <text>
        <r>
          <rPr>
            <b/>
            <sz val="9"/>
            <rFont val="宋体"/>
            <charset val="134"/>
          </rPr>
          <t>96602:</t>
        </r>
        <r>
          <rPr>
            <sz val="9"/>
            <rFont val="宋体"/>
            <charset val="134"/>
          </rPr>
          <t xml:space="preserve">
单个集装箱R列总和</t>
        </r>
      </text>
    </comment>
    <comment ref="G16" authorId="1">
      <text>
        <r>
          <rPr>
            <b/>
            <sz val="9"/>
            <rFont val="宋体"/>
            <charset val="134"/>
          </rPr>
          <t>96602:</t>
        </r>
        <r>
          <rPr>
            <sz val="9"/>
            <rFont val="宋体"/>
            <charset val="134"/>
          </rPr>
          <t xml:space="preserve">
G13+14+15</t>
        </r>
      </text>
    </comment>
  </commentList>
</comments>
</file>

<file path=xl/comments2.xml><?xml version="1.0" encoding="utf-8"?>
<comments xmlns="http://schemas.openxmlformats.org/spreadsheetml/2006/main">
  <authors>
    <author>杨兵</author>
    <author>96602</author>
  </authors>
  <commentList>
    <comment ref="A1" authorId="0">
      <text>
        <r>
          <rPr>
            <b/>
            <sz val="9"/>
            <color indexed="8"/>
            <rFont val="宋体"/>
            <charset val="134"/>
          </rPr>
          <t>杨兵:</t>
        </r>
        <r>
          <rPr>
            <sz val="9"/>
            <color indexed="8"/>
            <rFont val="宋体"/>
            <charset val="134"/>
          </rPr>
          <t xml:space="preserve">
固定内容</t>
        </r>
      </text>
    </comment>
    <comment ref="B12" authorId="1">
      <text>
        <r>
          <rPr>
            <b/>
            <sz val="9"/>
            <rFont val="宋体"/>
            <charset val="134"/>
          </rPr>
          <t>96602:</t>
        </r>
        <r>
          <rPr>
            <sz val="9"/>
            <rFont val="宋体"/>
            <charset val="134"/>
          </rPr>
          <t xml:space="preserve">
k列</t>
        </r>
      </text>
    </comment>
    <comment ref="C12" authorId="1">
      <text>
        <r>
          <rPr>
            <b/>
            <sz val="9"/>
            <rFont val="宋体"/>
            <charset val="134"/>
          </rPr>
          <t>96602:</t>
        </r>
        <r>
          <rPr>
            <sz val="9"/>
            <rFont val="宋体"/>
            <charset val="134"/>
          </rPr>
          <t xml:space="preserve">
M列</t>
        </r>
      </text>
    </comment>
    <comment ref="D12" authorId="1">
      <text>
        <r>
          <rPr>
            <b/>
            <sz val="9"/>
            <rFont val="宋体"/>
            <charset val="134"/>
          </rPr>
          <t>96602:</t>
        </r>
        <r>
          <rPr>
            <sz val="9"/>
            <rFont val="宋体"/>
            <charset val="134"/>
          </rPr>
          <t xml:space="preserve">
o列</t>
        </r>
      </text>
    </comment>
    <comment ref="E12" authorId="1">
      <text>
        <r>
          <rPr>
            <b/>
            <sz val="9"/>
            <rFont val="宋体"/>
            <charset val="134"/>
          </rPr>
          <t>96602:</t>
        </r>
        <r>
          <rPr>
            <sz val="9"/>
            <rFont val="宋体"/>
            <charset val="134"/>
          </rPr>
          <t xml:space="preserve">
AE列</t>
        </r>
      </text>
    </comment>
    <comment ref="F12" authorId="1">
      <text>
        <r>
          <rPr>
            <b/>
            <sz val="9"/>
            <rFont val="宋体"/>
            <charset val="134"/>
          </rPr>
          <t>96602:</t>
        </r>
        <r>
          <rPr>
            <sz val="9"/>
            <rFont val="宋体"/>
            <charset val="134"/>
          </rPr>
          <t xml:space="preserve">
AF列</t>
        </r>
      </text>
    </comment>
    <comment ref="H12" authorId="1">
      <text>
        <r>
          <rPr>
            <b/>
            <sz val="9"/>
            <rFont val="宋体"/>
            <charset val="134"/>
          </rPr>
          <t>96602:</t>
        </r>
        <r>
          <rPr>
            <sz val="9"/>
            <rFont val="宋体"/>
            <charset val="134"/>
          </rPr>
          <t xml:space="preserve">
AG列</t>
        </r>
      </text>
    </comment>
    <comment ref="I12" authorId="1">
      <text>
        <r>
          <rPr>
            <b/>
            <sz val="9"/>
            <rFont val="宋体"/>
            <charset val="134"/>
          </rPr>
          <t>96602:</t>
        </r>
        <r>
          <rPr>
            <sz val="9"/>
            <rFont val="宋体"/>
            <charset val="134"/>
          </rPr>
          <t xml:space="preserve">
AH列</t>
        </r>
      </text>
    </comment>
    <comment ref="J12" authorId="1">
      <text>
        <r>
          <rPr>
            <b/>
            <sz val="9"/>
            <rFont val="宋体"/>
            <charset val="134"/>
          </rPr>
          <t>96602:</t>
        </r>
        <r>
          <rPr>
            <sz val="9"/>
            <rFont val="宋体"/>
            <charset val="134"/>
          </rPr>
          <t xml:space="preserve">
Package dimension 乘法的总和</t>
        </r>
      </text>
    </comment>
    <comment ref="K12" authorId="1">
      <text>
        <r>
          <rPr>
            <b/>
            <sz val="9"/>
            <rFont val="宋体"/>
            <charset val="134"/>
          </rPr>
          <t>96602:</t>
        </r>
        <r>
          <rPr>
            <sz val="9"/>
            <rFont val="宋体"/>
            <charset val="134"/>
          </rPr>
          <t xml:space="preserve">
AI列</t>
        </r>
      </text>
    </comment>
    <comment ref="L12" authorId="1">
      <text>
        <r>
          <rPr>
            <b/>
            <sz val="9"/>
            <rFont val="宋体"/>
            <charset val="134"/>
          </rPr>
          <t>96602:</t>
        </r>
        <r>
          <rPr>
            <sz val="9"/>
            <rFont val="宋体"/>
            <charset val="134"/>
          </rPr>
          <t xml:space="preserve">
aj</t>
        </r>
      </text>
    </comment>
    <comment ref="M12" authorId="1">
      <text>
        <r>
          <rPr>
            <b/>
            <sz val="9"/>
            <rFont val="宋体"/>
            <charset val="134"/>
          </rPr>
          <t>96602:</t>
        </r>
        <r>
          <rPr>
            <sz val="9"/>
            <rFont val="宋体"/>
            <charset val="134"/>
          </rPr>
          <t xml:space="preserve">
ak</t>
        </r>
      </text>
    </comment>
  </commentList>
</comments>
</file>

<file path=xl/sharedStrings.xml><?xml version="1.0" encoding="utf-8"?>
<sst xmlns="http://schemas.openxmlformats.org/spreadsheetml/2006/main" count="12002" uniqueCount="915">
  <si>
    <t>WUHU DEFEITU AUTOMOBILE TECHNOLOGY CO.,LTD</t>
  </si>
  <si>
    <t>4-32, NO. 5, QIJING 1ST ROAD, LONGSHAN STREET, ECONOMIC AND TECHNOLOGICAL DEVELOPMENT ZONE, WUHU CITY, ANHUI, CHINA</t>
  </si>
  <si>
    <t>COMMERCIAL INVOICE
Инвойс</t>
  </si>
  <si>
    <r>
      <rPr>
        <b/>
        <sz val="11"/>
        <rFont val="Times New Roman"/>
        <charset val="134"/>
      </rPr>
      <t xml:space="preserve">Container </t>
    </r>
    <r>
      <rPr>
        <b/>
        <sz val="11"/>
        <rFont val="Segoe UI Symbol"/>
        <charset val="134"/>
      </rPr>
      <t>№</t>
    </r>
  </si>
  <si>
    <t>Invoice No.         № Инвойса</t>
  </si>
  <si>
    <t>Invoice date
Дата Инвойса</t>
  </si>
  <si>
    <t>Contract No. 
Контракт №</t>
  </si>
  <si>
    <t>DFTATP001 dd 13.05.2025</t>
  </si>
  <si>
    <t>Delivery terms  Условия поставки</t>
  </si>
  <si>
    <t>Terms of Payment Условия оплаты</t>
  </si>
  <si>
    <t>CIF KALUGA</t>
  </si>
  <si>
    <t>Pay 100% of the total price of the goods to the Supplier's bank account no later than 180 days from the date of receipt of the invoice</t>
  </si>
  <si>
    <t xml:space="preserve">Сonsignor:                                                                                                                                                                                                                                                                                                        Грузоотправитель: </t>
  </si>
  <si>
    <t>WUHU DEFEITU AUTOMOBILE TECHNOLOGY CO.,LTD, 4-32, NO. 5, QIJING 1ST ROAD, LONGSHAN STREET, ECONOMIC AND TECHNOLOGICAL DEVELOPMENT ZONE, WUHU CITY, ANHUI, CHINA</t>
  </si>
  <si>
    <t>Consignee:
Грузополучатель:</t>
  </si>
  <si>
    <t>ATP TECHNOLOGY, 125171, Moscow, Leningradskoe Shosse, 16a, building 2</t>
  </si>
  <si>
    <t>Buyer:
Покупатель:</t>
  </si>
  <si>
    <t>DESCRIPTION OF GOODS
ОПИСАНИЯ ГРУЗОВ</t>
  </si>
  <si>
    <t>№</t>
  </si>
  <si>
    <t>MATERIAL NO.</t>
  </si>
  <si>
    <t>DESCRIPTION OF GOODS</t>
  </si>
  <si>
    <t>TYPE</t>
  </si>
  <si>
    <t>Q'TY</t>
  </si>
  <si>
    <t>UNIT PRICE (CNY)</t>
  </si>
  <si>
    <t xml:space="preserve">TOTAL PRICE (CNY)             </t>
  </si>
  <si>
    <t>Наименование на русском</t>
  </si>
  <si>
    <t>Код ТН ВЭД</t>
  </si>
  <si>
    <t>Freight Value(CNY)</t>
  </si>
  <si>
    <t>Insurance Premium(CNY)</t>
  </si>
  <si>
    <t xml:space="preserve">TOTAL </t>
  </si>
  <si>
    <t xml:space="preserve">Packing List
</t>
  </si>
  <si>
    <t>NO</t>
  </si>
  <si>
    <t>PKGS</t>
  </si>
  <si>
    <t>TOTAL NW(KGS)</t>
  </si>
  <si>
    <t xml:space="preserve"> GW(KGS)</t>
  </si>
  <si>
    <t>TOTAL GW(KGS)</t>
  </si>
  <si>
    <t>Package dimension（MM）</t>
  </si>
  <si>
    <t>CBM（M3）</t>
  </si>
  <si>
    <t>Package mark</t>
  </si>
  <si>
    <t>MANUFACTURER</t>
  </si>
  <si>
    <t>TRADE MARK</t>
  </si>
  <si>
    <t>402048785AA</t>
  </si>
  <si>
    <t>Left front seat manual six-way seat cushion assembly</t>
  </si>
  <si>
    <t>2280*1480*850</t>
  </si>
  <si>
    <t>Chery Automobile Co. LTD</t>
  </si>
  <si>
    <t>Chery</t>
  </si>
  <si>
    <t>402048819AA</t>
  </si>
  <si>
    <t>60% Rear Backrest Frame Assembly (with Armrest)</t>
  </si>
  <si>
    <t>402048840AA</t>
  </si>
  <si>
    <t>40% Rear Backrest Frame Assembly</t>
  </si>
  <si>
    <t>GW列，total gw/NW*nw，在最后一行的时候，用总毛重-每一行的毛重，保持总毛重一致</t>
  </si>
  <si>
    <t>NO.</t>
  </si>
  <si>
    <t>ID</t>
  </si>
  <si>
    <t>CI NO.</t>
  </si>
  <si>
    <t>CONTACT NO.</t>
  </si>
  <si>
    <t>Container No</t>
  </si>
  <si>
    <t>SEAL NO.</t>
  </si>
  <si>
    <t>CONTRCT</t>
  </si>
  <si>
    <t>ITEM</t>
  </si>
  <si>
    <t>Modification no.
Номер модификации</t>
  </si>
  <si>
    <t>CASE NO.</t>
  </si>
  <si>
    <t>PART No/ артикул</t>
  </si>
  <si>
    <t>HS CODE</t>
  </si>
  <si>
    <t>DESCRIPTION OF GOODS/ Описание товара на англ.</t>
  </si>
  <si>
    <t>DESCRIPTION OF GOODS RUSSIAN/ Описание товара на русском яз.</t>
  </si>
  <si>
    <t>QTY</t>
  </si>
  <si>
    <t>Unit price EXW(CNY)/ Цена за штуку</t>
  </si>
  <si>
    <t>运费1</t>
  </si>
  <si>
    <t>保费</t>
  </si>
  <si>
    <t>UNIT CIP(CNY)</t>
  </si>
  <si>
    <r>
      <rPr>
        <b/>
        <sz val="10"/>
        <rFont val="Tahoma"/>
        <charset val="134"/>
      </rPr>
      <t>NW</t>
    </r>
    <r>
      <rPr>
        <b/>
        <sz val="10"/>
        <rFont val="宋体"/>
        <charset val="134"/>
      </rPr>
      <t>（</t>
    </r>
    <r>
      <rPr>
        <b/>
        <sz val="10"/>
        <rFont val="Arial Narrow"/>
        <charset val="134"/>
      </rPr>
      <t>KG</t>
    </r>
    <r>
      <rPr>
        <b/>
        <sz val="10"/>
        <rFont val="宋体"/>
        <charset val="134"/>
      </rPr>
      <t>）</t>
    </r>
    <r>
      <rPr>
        <b/>
        <sz val="10"/>
        <rFont val="Arial Narrow"/>
        <charset val="134"/>
      </rPr>
      <t xml:space="preserve"> / вес нетто</t>
    </r>
  </si>
  <si>
    <r>
      <rPr>
        <b/>
        <sz val="10"/>
        <rFont val="Tahoma"/>
        <charset val="134"/>
      </rPr>
      <t>TOTAL NW</t>
    </r>
    <r>
      <rPr>
        <b/>
        <sz val="10"/>
        <rFont val="宋体"/>
        <charset val="134"/>
      </rPr>
      <t>（</t>
    </r>
    <r>
      <rPr>
        <b/>
        <sz val="10"/>
        <rFont val="Arial Narrow"/>
        <charset val="134"/>
      </rPr>
      <t>KG</t>
    </r>
    <r>
      <rPr>
        <b/>
        <sz val="10"/>
        <rFont val="宋体"/>
        <charset val="134"/>
      </rPr>
      <t>）/ общий вес нетто</t>
    </r>
  </si>
  <si>
    <r>
      <rPr>
        <b/>
        <sz val="10"/>
        <rFont val="Tahoma"/>
        <charset val="134"/>
      </rPr>
      <t>GW</t>
    </r>
    <r>
      <rPr>
        <b/>
        <sz val="10"/>
        <rFont val="宋体"/>
        <charset val="134"/>
      </rPr>
      <t>（</t>
    </r>
    <r>
      <rPr>
        <b/>
        <sz val="10"/>
        <rFont val="Arial Narrow"/>
        <charset val="134"/>
      </rPr>
      <t>KG</t>
    </r>
    <r>
      <rPr>
        <b/>
        <sz val="10"/>
        <rFont val="宋体"/>
        <charset val="134"/>
      </rPr>
      <t>）</t>
    </r>
    <r>
      <rPr>
        <b/>
        <sz val="10"/>
        <rFont val="Arial Narrow"/>
        <charset val="134"/>
      </rPr>
      <t>/вес брутто</t>
    </r>
  </si>
  <si>
    <r>
      <rPr>
        <b/>
        <i/>
        <sz val="10"/>
        <rFont val="Tahoma"/>
        <charset val="134"/>
      </rPr>
      <t>TOTAL GW</t>
    </r>
    <r>
      <rPr>
        <b/>
        <sz val="10"/>
        <rFont val="宋体"/>
        <charset val="134"/>
      </rPr>
      <t>（</t>
    </r>
    <r>
      <rPr>
        <b/>
        <sz val="10"/>
        <rFont val="Arial Narrow"/>
        <charset val="134"/>
      </rPr>
      <t>KG) / общий вес брутто</t>
    </r>
  </si>
  <si>
    <t>TOTAL CIP(CNY)</t>
  </si>
  <si>
    <t>length</t>
  </si>
  <si>
    <t>width</t>
  </si>
  <si>
    <t>height</t>
  </si>
  <si>
    <t>Volume (M)</t>
  </si>
  <si>
    <t>港口</t>
  </si>
  <si>
    <t>43115-DT1EJ20250101-A</t>
  </si>
  <si>
    <t xml:space="preserve">CONTRACT NO. AGM-2024-2 DATED 25.09.2024
</t>
  </si>
  <si>
    <t>JIEU8015558</t>
  </si>
  <si>
    <t>SFT066097</t>
  </si>
  <si>
    <t>PARTS</t>
  </si>
  <si>
    <t>T1EJ</t>
  </si>
  <si>
    <t>W002-A2</t>
  </si>
  <si>
    <t>155001255AA</t>
  </si>
  <si>
    <t>FUEL TANK ASSY WITH PUMP</t>
  </si>
  <si>
    <t>Топливный бак с насосом в сборе</t>
  </si>
  <si>
    <t>155000842AA</t>
  </si>
  <si>
    <t>FUEL TANK FIXED BELT ASSEMBLY I</t>
  </si>
  <si>
    <t>Кронштейн крепления топливного бака 1</t>
  </si>
  <si>
    <t>155000843AA</t>
  </si>
  <si>
    <t>FUEL TANK FIXED BELT ASSEMBLY II</t>
  </si>
  <si>
    <t>Кронштейн крепления топливного бака 2</t>
  </si>
  <si>
    <t>W002-A3</t>
  </si>
  <si>
    <t>W003-A1</t>
  </si>
  <si>
    <t>153001146AA</t>
  </si>
  <si>
    <t>PRE-CATALYST - 1.6 TGDI BJ6</t>
  </si>
  <si>
    <t>Каталитический нейтрализатор выхлопныйх газов</t>
  </si>
  <si>
    <t>W003-A2</t>
  </si>
  <si>
    <t>W004-A1</t>
  </si>
  <si>
    <t>153000869AA</t>
  </si>
  <si>
    <t>GASOLINE PARTICULATE FILTER AND DOWN PIPE ASSEMBLY</t>
  </si>
  <si>
    <t>Передняя часть глушителя в сборе</t>
  </si>
  <si>
    <t>W004-A2</t>
  </si>
  <si>
    <t>21</t>
  </si>
  <si>
    <t>8</t>
  </si>
  <si>
    <t>76</t>
  </si>
  <si>
    <t>W016-A</t>
  </si>
  <si>
    <t>153000118AA</t>
  </si>
  <si>
    <t>HEAT RESISTANT NUT</t>
  </si>
  <si>
    <t>ШЕСТИГРАННАЯ ФЛАНЦЕВАЯ ГАЙКА М10</t>
  </si>
  <si>
    <t>CQ67670</t>
  </si>
  <si>
    <t>WORM SNAP RING</t>
  </si>
  <si>
    <t>Хомут воздушного патрубка</t>
  </si>
  <si>
    <t>FJ170000</t>
  </si>
  <si>
    <t>CLIP</t>
  </si>
  <si>
    <t>Клипса для крепления защиты колесной арки к кузову</t>
  </si>
  <si>
    <t>FJ310001</t>
  </si>
  <si>
    <t>SINGLE GROOVE PLASTIC PIPE CLAMP</t>
  </si>
  <si>
    <t>Клипса крепления проводки кислородного датчика</t>
  </si>
  <si>
    <t>FQ129C1050TF61</t>
  </si>
  <si>
    <t>DOUBLE END STUD BM</t>
  </si>
  <si>
    <t>Двусторонняя шпилька-для крепления правой опоры двигателя М10х50</t>
  </si>
  <si>
    <t>FQ13008151075TF70K</t>
  </si>
  <si>
    <t>SHOULDER DOUBLE END STUD</t>
  </si>
  <si>
    <t>БОЛТ С ФЛАНЦЕВОЙ ШЕСТИГРАННОЙ ГОЛОВКОЙ М10Х75</t>
  </si>
  <si>
    <t>FQ140B0845F61SKN</t>
  </si>
  <si>
    <t>HEXAGON HEAD BOLT AND PLAIN WASHER ASSEMBLY</t>
  </si>
  <si>
    <t>БОЛТ С ШЕСТИГРАННОЙ ГОЛОВКОЙ И ПЛОСКОЙ ШАЙБОЙ М8Х45</t>
  </si>
  <si>
    <t>FQ1840615F34E</t>
  </si>
  <si>
    <t>HEXAGON BOLT WITH FLANGE_M6*15</t>
  </si>
  <si>
    <t>БОЛТ С ФЛАНЦЕВОЙ ШЕСТИГРАННОЙ ГОЛОВКОЙ M6х15</t>
  </si>
  <si>
    <t>FQ1840820T1F32E</t>
  </si>
  <si>
    <t>HEX-HEAD FLANG BOLT</t>
  </si>
  <si>
    <t>БОЛТ С ФЛАНЦЕВОЙ ШЕСТИГРАННОЙ ГОЛОВКОЙ М8Х20</t>
  </si>
  <si>
    <t>FQ1841045TF61K</t>
  </si>
  <si>
    <t>HEXAGON BOLT WITH FLANGE</t>
  </si>
  <si>
    <t xml:space="preserve">БОЛТ С ФЛАНЦЕВОЙ ШЕСТИГРАННОЙ ГОЛОВКОЙ M10x45 </t>
  </si>
  <si>
    <t>FQ1851470TF63K</t>
  </si>
  <si>
    <t>Болт с фланцевой шестигранной головкой</t>
  </si>
  <si>
    <t>FQ1861075TF63K</t>
  </si>
  <si>
    <t>HEAVY SERIES HEXAGON BOLT WITH FLANGE</t>
  </si>
  <si>
    <t xml:space="preserve">БОЛТ С ФЛАНЦЕВОЙ ШЕСТИГРАННОЙ ГОЛОВКОЙ M10x75 </t>
  </si>
  <si>
    <t>FQ1871055TF61K</t>
  </si>
  <si>
    <t>FQ18A12130TF61K</t>
  </si>
  <si>
    <t>HEXAGON BOLT WITH FLANGE M12X1.25X100</t>
  </si>
  <si>
    <t>Болт с шестигранным фланцем и плоская шайба в сборе</t>
  </si>
  <si>
    <t>FQ18A14118TF61KG</t>
  </si>
  <si>
    <t>HEXAGON BOLT WITH FLANGE AND PLAIN WASHER ASSEMBLY M14X1.5X118</t>
  </si>
  <si>
    <t>Болт М14Х1,5Х117,2</t>
  </si>
  <si>
    <t>FQ18A14118TF61SKG</t>
  </si>
  <si>
    <t>FQ1A01429TF61K</t>
  </si>
  <si>
    <t>WHELL BOLT</t>
  </si>
  <si>
    <t>Колесный болт с шестигранной головкой</t>
  </si>
  <si>
    <t>FQ32912F36K</t>
  </si>
  <si>
    <t>PREVAILING TORQUE TYPE NUTS</t>
  </si>
  <si>
    <t>Шестигранная самостопорящаяся гайка М12</t>
  </si>
  <si>
    <t>FQ32914T15F36K</t>
  </si>
  <si>
    <t>PREVAILING TORQUE TYPE HEXAGON NUTS (WITH NON - METALLIC INSERT),STYLE 1</t>
  </si>
  <si>
    <t>Шестигранная самостопорящаяся гайка М14</t>
  </si>
  <si>
    <t>FQ331A12T13F61K</t>
  </si>
  <si>
    <t>PREVAILING TORQUE TYPE HEXAGON NUTS WITH FLANGE</t>
  </si>
  <si>
    <t>Шестигранная фланцевая контргайка</t>
  </si>
  <si>
    <t>FQ33510F36</t>
  </si>
  <si>
    <t>PREVAILING TORQUE TYPE HEXAGON NUTS WITH FLANGE (WITH METALLIC INSERT) M10X1.25</t>
  </si>
  <si>
    <t>Шестигранная фланцевая самостопорящаяся гайка М10</t>
  </si>
  <si>
    <t>FQ33510F71K</t>
  </si>
  <si>
    <t>PREVAILING TORQUE TYPE HEXAGON FLANGE NUTS WITH METAL INSERT</t>
  </si>
  <si>
    <t>Металлическая вставка, шестигранный фланец, торцевая контргайка</t>
  </si>
  <si>
    <t>FQ33A24T12F36</t>
  </si>
  <si>
    <t>PREVAILING TORQUE TYPE HEXAGON NUTS WITH FLANGE M24X1.5</t>
  </si>
  <si>
    <t>Шестигранная амостопорящаяся гайка М24</t>
  </si>
  <si>
    <t>FQ401B2441T28F36</t>
  </si>
  <si>
    <t>WASHER</t>
  </si>
  <si>
    <t>Шайба плоская Φ41xΦ24.6x5 мм</t>
  </si>
  <si>
    <t>FQ43A13F63</t>
  </si>
  <si>
    <t>RETAINER</t>
  </si>
  <si>
    <t>Фиксатор тормозного шланга</t>
  </si>
  <si>
    <t>22</t>
  </si>
  <si>
    <t>FQ60120F6E</t>
  </si>
  <si>
    <t>ELASTIC CLAMP</t>
  </si>
  <si>
    <t>Хомут для патрубка, стальной</t>
  </si>
  <si>
    <t>FQ60122F6E</t>
  </si>
  <si>
    <t>SPING RING HOOP</t>
  </si>
  <si>
    <t>FQ60124F6E</t>
  </si>
  <si>
    <t>ELASTICITY CLAMP</t>
  </si>
  <si>
    <t>FQ60125F6E</t>
  </si>
  <si>
    <t>FQ60126F6E</t>
  </si>
  <si>
    <t>FQ60128F6E</t>
  </si>
  <si>
    <t>SPRING BAND HOSE CLAMPS</t>
  </si>
  <si>
    <t>W017-A</t>
  </si>
  <si>
    <t>FQ60140F6E</t>
  </si>
  <si>
    <t>FQ60231</t>
  </si>
  <si>
    <t>SINGLE EAR NON-STAGE CLAMP</t>
  </si>
  <si>
    <t>FQ67645T73</t>
  </si>
  <si>
    <t>TYPE B WORM DRIVEN HOSE HOOP</t>
  </si>
  <si>
    <t>Q146B0620F71LK</t>
  </si>
  <si>
    <t>HEXAGON BOLT、SPRING WASHER AND PLAIN WASHER ASSEMBLIES</t>
  </si>
  <si>
    <t>Болты с шестигранной головкой, пружинные шайбы и плоские шайбы в сборе</t>
  </si>
  <si>
    <t>Q146B0820TF38</t>
  </si>
  <si>
    <t>HEXAGON HEAD BOLT SPRING WASHER AND PLAIN WASHER ASSEMBLY M8X20</t>
  </si>
  <si>
    <t>Болт с фланцевой шестигранной головкой в комплекте с шайбами М8Х20</t>
  </si>
  <si>
    <t>Q1820612F36</t>
  </si>
  <si>
    <t>HEXAGON BOLT WITH FLANGE M6X12</t>
  </si>
  <si>
    <t>Болт с фланцевой шестигранной головкой в комплекте с шайбой</t>
  </si>
  <si>
    <t>Q1820612F63K</t>
  </si>
  <si>
    <t>75</t>
  </si>
  <si>
    <t>Q1820616F38</t>
  </si>
  <si>
    <t>HEXAGON BOLT WITH FLANGE M6X16</t>
  </si>
  <si>
    <t>Болт с фланцевой шестигранной головкой М6Х16</t>
  </si>
  <si>
    <t>Q1820616F63K</t>
  </si>
  <si>
    <t>БОЛТ С ФЛАНЦЕВОЙ ШЕСТИГРАННОЙ ГОЛОВКОЙ М6Х16</t>
  </si>
  <si>
    <t>Q1820812F36</t>
  </si>
  <si>
    <t>HEXAGON BOLT WITH FLANGE M8X12</t>
  </si>
  <si>
    <t>БОЛТ С ФЛАНЦЕВОЙ ШЕСТИГРАННОЙ ГОЛОВКОЙ М8Х12</t>
  </si>
  <si>
    <t>Q1820820F70K</t>
  </si>
  <si>
    <t>Q1820825F61K</t>
  </si>
  <si>
    <t>БОЛТ С ФЛАНЦЕВОЙ ШЕСТИГРАННОЙ ГОЛОВКОЙ M8x25</t>
  </si>
  <si>
    <t>Q1831025TF63SK</t>
  </si>
  <si>
    <t>Шестигранные фланцевые болты</t>
  </si>
  <si>
    <t>Q1831030TF63QK</t>
  </si>
  <si>
    <t>Q1831230TF61K</t>
  </si>
  <si>
    <t>HEXAGON BOLT WITH FLANGE M12X1.25X30</t>
  </si>
  <si>
    <t>Болт с шестигранным фланцем_M12×1,25X30</t>
  </si>
  <si>
    <t>Q1840835F36</t>
  </si>
  <si>
    <t>HEXAGON BOLT WITH FLANGE M8X35</t>
  </si>
  <si>
    <t>БОЛТ С ФЛАНЦЕВОЙ ШЕСТИГРАННОЙ ГОЛОВКОЙ M8X35</t>
  </si>
  <si>
    <t>Q1841050F36</t>
  </si>
  <si>
    <t xml:space="preserve">БОЛТ С ФЛАНЦЕВОЙ ШЕСТИГРАННОЙ ГОЛОВКОЙ M10x50 </t>
  </si>
  <si>
    <t>Q1841245TF61K</t>
  </si>
  <si>
    <t xml:space="preserve">БОЛТ С ФЛАНЦЕВОЙ ШЕСТИГРАННОЙ ГОЛОВКОЙ M12x45 </t>
  </si>
  <si>
    <t>Q1851250TF61SK</t>
  </si>
  <si>
    <t>БОЛТ С ФЛАНЦЕВОЙ ШЕСТИГРАННОЙ ГОЛОВКОЙ М12х50</t>
  </si>
  <si>
    <t>Q1851255TF61SK</t>
  </si>
  <si>
    <t>HEXAGON BOLT WITH FLANGE M12X1.25X55</t>
  </si>
  <si>
    <t>Болт с фланцевой шестигранной головкой М12Х55</t>
  </si>
  <si>
    <t>Q1851280TF63K</t>
  </si>
  <si>
    <t>Q1861050TF63K</t>
  </si>
  <si>
    <t>HEXAGON BOLT WITH FLANGE - HEAVG SERIES</t>
  </si>
  <si>
    <t>Q1880616F36</t>
  </si>
  <si>
    <t>HEAVY SERIES HEXAGON BOLT WITH FLANGE M6X16</t>
  </si>
  <si>
    <t>Q1880616F61K</t>
  </si>
  <si>
    <t xml:space="preserve">БОЛТ С ФЛАНЦЕВОЙ ШЕСТИГРАННОЙ ГОЛОВКОЙ M6x16 </t>
  </si>
  <si>
    <t>Q1881250TF61K</t>
  </si>
  <si>
    <t>Болты с шестигранным фланцем - увеличенная серия</t>
  </si>
  <si>
    <t>Q32006F36</t>
  </si>
  <si>
    <t>HEXAGON NUT WITH FLANGE</t>
  </si>
  <si>
    <t>Шестигранная фланцевая гайка M6</t>
  </si>
  <si>
    <t>Q32006F38</t>
  </si>
  <si>
    <t>HEXAGON BUT WITH FLANGE M6</t>
  </si>
  <si>
    <t>107</t>
  </si>
  <si>
    <t>Q32006F71K</t>
  </si>
  <si>
    <t>ШЕСТИГРАННАЯ ФЛАНЦЕВАЯ ГАЙКА M6</t>
  </si>
  <si>
    <t>Q32008F36</t>
  </si>
  <si>
    <t>Шестигранная фланцевая гайка М8</t>
  </si>
  <si>
    <t>Q32310T13F61</t>
  </si>
  <si>
    <t>HEXAGON NUT WITH FLANGE M10</t>
  </si>
  <si>
    <t>Шестигранная фланцевая гайка</t>
  </si>
  <si>
    <t>Q33114T13F63K</t>
  </si>
  <si>
    <t>PREVAILING TORQUE TYPE ALL-METAL HEXAGON NUTS WITH FLANGE</t>
  </si>
  <si>
    <t xml:space="preserve">Шестигранная фланцевая самостопорящаяся гайка </t>
  </si>
  <si>
    <t>Q33910T13F63K</t>
  </si>
  <si>
    <t>PREVAILING TORQUE TYPE HEXAGON NUTS WITH FLANGE (WITH NON-METALLIC INSERT)</t>
  </si>
  <si>
    <t>FQ2B24819F71</t>
  </si>
  <si>
    <t>CROSS RECESSED BUTTON HEAD TAPPING SCREW AND FLAT WASHER ASSEMBLY</t>
  </si>
  <si>
    <t>Саморезы с крестообразной головкой и плоскими шайбами ​​в сборе</t>
  </si>
  <si>
    <t>W027-A</t>
  </si>
  <si>
    <t>302001654AA</t>
  </si>
  <si>
    <t>INLET HOSE</t>
  </si>
  <si>
    <t>Впускной патрубок радиатора</t>
  </si>
  <si>
    <t>24</t>
  </si>
  <si>
    <t>807000033AA</t>
  </si>
  <si>
    <t>ELECTRONIC BATTERY SENSOR</t>
  </si>
  <si>
    <t>Датчик контроля состояния аккумулятора</t>
  </si>
  <si>
    <t>B21-1205313BA</t>
  </si>
  <si>
    <t>GASKET</t>
  </si>
  <si>
    <t>Прокладка-предкатализатор</t>
  </si>
  <si>
    <t>302001655AA</t>
  </si>
  <si>
    <t>OUTLET HOSE</t>
  </si>
  <si>
    <t>Выпускной патрубок радиатора</t>
  </si>
  <si>
    <t>E3T10-3611043</t>
  </si>
  <si>
    <t>WATER TEMPERATURE SENSOR</t>
  </si>
  <si>
    <t>Датчик температуры охлаждающей жидкости</t>
  </si>
  <si>
    <t>F4J16-3611021</t>
  </si>
  <si>
    <t>ENGINE SPEED SENSOR</t>
  </si>
  <si>
    <t>Датчик скорости вращения коленвала</t>
  </si>
  <si>
    <t>F4J20-3611061</t>
  </si>
  <si>
    <t>OXYGEN SENSOR</t>
  </si>
  <si>
    <t>Датчик кислорода</t>
  </si>
  <si>
    <t>J60-2911031</t>
  </si>
  <si>
    <t>REAR SPRING UPPER BUSHER</t>
  </si>
  <si>
    <t>Верхняя подушка задней винтовой пружины</t>
  </si>
  <si>
    <t>J60-3611061AB</t>
  </si>
  <si>
    <t>SENSOR - OXYGEN</t>
  </si>
  <si>
    <t>807001025AA</t>
  </si>
  <si>
    <t>BATTERY FIXING POLE</t>
  </si>
  <si>
    <t>Рычаг аккумулятора</t>
  </si>
  <si>
    <t>F4J16-3611067</t>
  </si>
  <si>
    <t>OXYGEN SENSOR BRACKET</t>
  </si>
  <si>
    <t>Кронштейн крепления датчика кислорода к двигателю</t>
  </si>
  <si>
    <t>602002493AA</t>
  </si>
  <si>
    <t>ENGINE LEFT SIDE SHIELD</t>
  </si>
  <si>
    <t>Защитная панель моторного отсека, левая</t>
  </si>
  <si>
    <t>602002494AA</t>
  </si>
  <si>
    <t>ENGINE RIGHT SIDE SHIELD</t>
  </si>
  <si>
    <t>Защитная панель моторного отсека, правая</t>
  </si>
  <si>
    <t>S11-2803510AB</t>
  </si>
  <si>
    <t>PLASTIC CLIP</t>
  </si>
  <si>
    <t>Крепежный зажим в сборе</t>
  </si>
  <si>
    <t>W029-A</t>
  </si>
  <si>
    <t>806006162AA</t>
  </si>
  <si>
    <t>W/H A-ENGINE</t>
  </si>
  <si>
    <t>Жгут проводов моторного отсека</t>
  </si>
  <si>
    <t>104</t>
  </si>
  <si>
    <t>806006192AA</t>
  </si>
  <si>
    <t>W/H A-BATTERY POSITIVE</t>
  </si>
  <si>
    <t>Жгут проводов от плюсовой кламмы аккумулятора</t>
  </si>
  <si>
    <t>105</t>
  </si>
  <si>
    <t>19</t>
  </si>
  <si>
    <t>W030-A</t>
  </si>
  <si>
    <t>151000254AA</t>
  </si>
  <si>
    <t>HOSE AIR INTAKE ASSY</t>
  </si>
  <si>
    <t>Впускной патрубок в сборе - от воздушного фильтра к двигателю</t>
  </si>
  <si>
    <t>131000322AA</t>
  </si>
  <si>
    <t>GPF EXHAUST TEMPERATURE SENSOR</t>
  </si>
  <si>
    <t>Датчик температуры выхлопных газов</t>
  </si>
  <si>
    <t>155000158AA</t>
  </si>
  <si>
    <t>OUTLET PIPE-CARBON CANISTER SOLENOID VALVE</t>
  </si>
  <si>
    <t>Выпукной патрубок с электромагнитным клапаном системы вентиляции топливного бака.</t>
  </si>
  <si>
    <t>155000177AA</t>
  </si>
  <si>
    <t>PIPE -FUEL FEED</t>
  </si>
  <si>
    <t>Топливопровод в сборе</t>
  </si>
  <si>
    <t>F4J16-1014030</t>
  </si>
  <si>
    <t>HOSE - INTAKE HOSE ASSEMBLY</t>
  </si>
  <si>
    <t>Патрубок системы охлаждения двигателя</t>
  </si>
  <si>
    <t>302001278AA</t>
  </si>
  <si>
    <t>AIR DUCT ASSY OF CAC INLET Ⅰ</t>
  </si>
  <si>
    <t>Впускной патрубок интеркулера</t>
  </si>
  <si>
    <t>Z007-A1</t>
  </si>
  <si>
    <t>121000044AA</t>
  </si>
  <si>
    <t>GEARBOX ASM - 7DCT 1.6TGDI FWD</t>
  </si>
  <si>
    <t>Автоматическая коробка переключения передач</t>
  </si>
  <si>
    <t>123000014AA</t>
  </si>
  <si>
    <t>COOLER FITTING INLET</t>
  </si>
  <si>
    <t>Впускной патрубок системы охлаждения коробки переключения передач из пластика</t>
  </si>
  <si>
    <t>123000015AA</t>
  </si>
  <si>
    <t>COOLER FITTING OUTLET</t>
  </si>
  <si>
    <t>Выпускной патрубок системы охлаждения коробки переключения передач из пластика</t>
  </si>
  <si>
    <t>Z007-A10</t>
  </si>
  <si>
    <t>Z007-A11</t>
  </si>
  <si>
    <t>Z007-A12</t>
  </si>
  <si>
    <t>Z007-A2</t>
  </si>
  <si>
    <t>Z007-A3</t>
  </si>
  <si>
    <t>Z007-A4</t>
  </si>
  <si>
    <t>Z007-A5</t>
  </si>
  <si>
    <t>Z007-A6</t>
  </si>
  <si>
    <t>Z007-A7</t>
  </si>
  <si>
    <t>Z007-A8</t>
  </si>
  <si>
    <t>Z007-A9</t>
  </si>
  <si>
    <t>Z010-A8</t>
  </si>
  <si>
    <t>203001802AA</t>
  </si>
  <si>
    <t>WHEEL TIRE ASSY</t>
  </si>
  <si>
    <t>Ходовое колесо в сборе (шина, диск, колпак, нипель с датчиком TPMS )</t>
  </si>
  <si>
    <t>JIEU8017273</t>
  </si>
  <si>
    <t>SFT076601</t>
  </si>
  <si>
    <t>W015-A2</t>
  </si>
  <si>
    <t>155001609AA</t>
  </si>
  <si>
    <t>FUEL PIPE ASSY</t>
  </si>
  <si>
    <t>204000409AA</t>
  </si>
  <si>
    <t>CHASSIS BRAKE PIPE II ASSY</t>
  </si>
  <si>
    <t>тормозной трубопровод в сборе</t>
  </si>
  <si>
    <t>W021-A</t>
  </si>
  <si>
    <t>602001933AA</t>
  </si>
  <si>
    <t>SIDE GUARD MOUNTING BRACKET ASSEMBLY</t>
  </si>
  <si>
    <t>Монтажный кронштейн боковой защиты в сборе</t>
  </si>
  <si>
    <t>Z009-A1</t>
  </si>
  <si>
    <t>Z009-A2</t>
  </si>
  <si>
    <t>Z009-A3</t>
  </si>
  <si>
    <t>Z009-A4</t>
  </si>
  <si>
    <t>Z009-A5</t>
  </si>
  <si>
    <t>Z009-A6</t>
  </si>
  <si>
    <t>Z009-A7</t>
  </si>
  <si>
    <t>Z009-A8</t>
  </si>
  <si>
    <t>Z010-A1</t>
  </si>
  <si>
    <t>Z010-A2</t>
  </si>
  <si>
    <t>Z010-A3</t>
  </si>
  <si>
    <t>Z010-A4</t>
  </si>
  <si>
    <t>Z010-A5</t>
  </si>
  <si>
    <t>Z010-A6</t>
  </si>
  <si>
    <t>Z010-A7</t>
  </si>
  <si>
    <t>JIEU8017930</t>
  </si>
  <si>
    <t>SFT076602</t>
  </si>
  <si>
    <t>W026-A</t>
  </si>
  <si>
    <t>602002495AA</t>
  </si>
  <si>
    <t>LEFT SIDE GUARD MOUNTING BRACKET ASSEMBLY</t>
  </si>
  <si>
    <t>Монтажный кронштейн левой боковой защитной пластины в сборе</t>
  </si>
  <si>
    <t>807000452AA</t>
  </si>
  <si>
    <t>BATTERY COVER</t>
  </si>
  <si>
    <t>Защита аккумулятора</t>
  </si>
  <si>
    <t>302001355AA</t>
  </si>
  <si>
    <t>AIR DUCT ASSY OF CAC OULET Ⅱ</t>
  </si>
  <si>
    <t>Выпускной патрубок интеркулера</t>
  </si>
  <si>
    <t>302000239AA</t>
  </si>
  <si>
    <t>OUTLET HOPE OF EXPANSION TANK</t>
  </si>
  <si>
    <t>Патрубок охлаждающей жидкости от расширительного бачка к двигателю</t>
  </si>
  <si>
    <t>W028-A</t>
  </si>
  <si>
    <t>806006194AA</t>
  </si>
  <si>
    <t>W/H A-GROUND</t>
  </si>
  <si>
    <t>Провод минусовой клеммы вккумулятора</t>
  </si>
  <si>
    <t>609001632AA</t>
  </si>
  <si>
    <t>HOOD GARNISH COVER</t>
  </si>
  <si>
    <t>накладка замка капота</t>
  </si>
  <si>
    <t>Z002-A1</t>
  </si>
  <si>
    <t>T1EJ-2020P01AA</t>
  </si>
  <si>
    <t>LEFT FRONT STRUT ASSEMBLY</t>
  </si>
  <si>
    <t>Стойка амортизации передней подвески, левая</t>
  </si>
  <si>
    <t>Z002-A2</t>
  </si>
  <si>
    <t>Z002-A3</t>
  </si>
  <si>
    <t>Z002-A4</t>
  </si>
  <si>
    <t>Z002-A5</t>
  </si>
  <si>
    <t>Z002-A6</t>
  </si>
  <si>
    <t>Z003-A1</t>
  </si>
  <si>
    <t>T1EJ-2020P02AA</t>
  </si>
  <si>
    <t>RIGHT FRONT STRUT ASSEMBLY</t>
  </si>
  <si>
    <t>Стойка амортизации передней подвески, правая</t>
  </si>
  <si>
    <t>Z003-A2</t>
  </si>
  <si>
    <t>Z003-A3</t>
  </si>
  <si>
    <t>Z006-A1</t>
  </si>
  <si>
    <t>F4J16C-0000E05AA</t>
  </si>
  <si>
    <t>ENGINE ASSEMBLY</t>
  </si>
  <si>
    <t>БЕНЗИНОВЫЙ ДВИГАТЕЛЬ ДЛЯ ЛЕГКОВОГО АВТОМОБИЛЯ ОБЪЕМОМ 1598 КУБ СМ, МОЩНОСТЬЮ 136,5 КВТ.</t>
  </si>
  <si>
    <t>Z006-A10</t>
  </si>
  <si>
    <t>Z006-A11</t>
  </si>
  <si>
    <t>Z006-A12</t>
  </si>
  <si>
    <t>Z006-A13</t>
  </si>
  <si>
    <t>Z006-A14</t>
  </si>
  <si>
    <t>Z006-A15</t>
  </si>
  <si>
    <t>Z006-A16</t>
  </si>
  <si>
    <t>Z006-A17</t>
  </si>
  <si>
    <t>Z006-A18</t>
  </si>
  <si>
    <t>74</t>
  </si>
  <si>
    <t>Z006-A19</t>
  </si>
  <si>
    <t>Z006-A2</t>
  </si>
  <si>
    <t>23</t>
  </si>
  <si>
    <t>Z006-A20</t>
  </si>
  <si>
    <t>Z006-A21</t>
  </si>
  <si>
    <t>Z006-A22</t>
  </si>
  <si>
    <t>Z006-A23</t>
  </si>
  <si>
    <t>Z006-A24</t>
  </si>
  <si>
    <t>Z006-A25</t>
  </si>
  <si>
    <t>Z006-A26</t>
  </si>
  <si>
    <t>Z006-A27</t>
  </si>
  <si>
    <t>Z006-A28</t>
  </si>
  <si>
    <t>Z006-A29</t>
  </si>
  <si>
    <t>Z006-A3</t>
  </si>
  <si>
    <t>Z006-A30</t>
  </si>
  <si>
    <t>Z006-A4</t>
  </si>
  <si>
    <t>Z006-A5</t>
  </si>
  <si>
    <t>Z006-A6</t>
  </si>
  <si>
    <t>Z006-A7</t>
  </si>
  <si>
    <t>Z006-A8</t>
  </si>
  <si>
    <t>Z006-A9</t>
  </si>
  <si>
    <t>JIEU8018198</t>
  </si>
  <si>
    <t>SFT066083</t>
  </si>
  <si>
    <t>W001-A1</t>
  </si>
  <si>
    <t>202001723AA</t>
  </si>
  <si>
    <t>REAR SHOCK ABSORBER</t>
  </si>
  <si>
    <t>Устройство заднего амортизатора</t>
  </si>
  <si>
    <t>W001-A2</t>
  </si>
  <si>
    <t>W001-A3</t>
  </si>
  <si>
    <t>W001-A4</t>
  </si>
  <si>
    <t>W002-A4</t>
  </si>
  <si>
    <t>73</t>
  </si>
  <si>
    <t>W002-A5</t>
  </si>
  <si>
    <t>20</t>
  </si>
  <si>
    <t>77</t>
  </si>
  <si>
    <t>W006-A1</t>
  </si>
  <si>
    <t>403005854AAABK</t>
  </si>
  <si>
    <t>TRUNK CARPET ASSY</t>
  </si>
  <si>
    <t>Напольное покрытие багажного отсека</t>
  </si>
  <si>
    <t>W006-A2</t>
  </si>
  <si>
    <t>W007-A1</t>
  </si>
  <si>
    <t>154000547AA</t>
  </si>
  <si>
    <t>LEFT DRIVESHAFT ASSY</t>
  </si>
  <si>
    <t>Передний левый приводной вал</t>
  </si>
  <si>
    <t>W007-A2</t>
  </si>
  <si>
    <t>W008-A1</t>
  </si>
  <si>
    <t>154000548AA</t>
  </si>
  <si>
    <t>ASSY.-FRT DRIVESHAFT &amp; BEARING SUPPORT RH</t>
  </si>
  <si>
    <t>Передний правый приводной вал с опорным кронштейном</t>
  </si>
  <si>
    <t>W008-A2</t>
  </si>
  <si>
    <t>W009-A1</t>
  </si>
  <si>
    <t>202001724AA</t>
  </si>
  <si>
    <t>REAR COIL SPRING</t>
  </si>
  <si>
    <t>Задняя винтовая пружина в сборе</t>
  </si>
  <si>
    <t>W009-A2</t>
  </si>
  <si>
    <t>W010-A</t>
  </si>
  <si>
    <t>404001342AA</t>
  </si>
  <si>
    <t>STEERING WHEEL ASSY</t>
  </si>
  <si>
    <t>Рулевое колесо в сборе</t>
  </si>
  <si>
    <t>W011-A1</t>
  </si>
  <si>
    <t>407000525AAABK</t>
  </si>
  <si>
    <t>DRIVER AIRBAG ASSY</t>
  </si>
  <si>
    <t>Подушка безопасности водителя в сборе</t>
  </si>
  <si>
    <t>W011-A2</t>
  </si>
  <si>
    <t>W012-A1</t>
  </si>
  <si>
    <t>807000420AA</t>
  </si>
  <si>
    <t>BATTERY</t>
  </si>
  <si>
    <t>Аккумулятор</t>
  </si>
  <si>
    <t>W012-A2</t>
  </si>
  <si>
    <t>W013-A</t>
  </si>
  <si>
    <t>F4J16-3708010AC</t>
  </si>
  <si>
    <t>STARTER ASS.</t>
  </si>
  <si>
    <t>Стартер двигателя в сборе</t>
  </si>
  <si>
    <t>W014-A</t>
  </si>
  <si>
    <t>602001929AA</t>
  </si>
  <si>
    <t>ENGINE LOWER SHIELD</t>
  </si>
  <si>
    <t>Нижняя защита двигателя</t>
  </si>
  <si>
    <t>W015-A1</t>
  </si>
  <si>
    <t>W018-A</t>
  </si>
  <si>
    <t>201000013AA</t>
  </si>
  <si>
    <t>BOLT</t>
  </si>
  <si>
    <t>БОЛТ С ФЛАНЦЕВОЙ ШЕСТИГРАННОЙ ГОЛОВКОЙ M10</t>
  </si>
  <si>
    <t>131000763AA</t>
  </si>
  <si>
    <t>Кронштейн крепления кислородного датчика к кузову</t>
  </si>
  <si>
    <t>155000935AA</t>
  </si>
  <si>
    <t>VAPOR TUBE CANISTER</t>
  </si>
  <si>
    <t>Патрубок системы вентиляции топливного бака.</t>
  </si>
  <si>
    <t>155001158AA</t>
  </si>
  <si>
    <t>PIPE ASSY FUEL VAPOR IV</t>
  </si>
  <si>
    <t>Трубопровод подачи паров топлива в сборе</t>
  </si>
  <si>
    <t>155001254AA</t>
  </si>
  <si>
    <t>PIPE I FUEL FEED ASSY</t>
  </si>
  <si>
    <t>J60-1100212</t>
  </si>
  <si>
    <t>CLIP DUAL PIPE</t>
  </si>
  <si>
    <t>клипса кремления трубок к кузову</t>
  </si>
  <si>
    <t>155001043AA</t>
  </si>
  <si>
    <t>FUEL FILLER HOSE</t>
  </si>
  <si>
    <t>Заправочный шланг к топливному баку</t>
  </si>
  <si>
    <t>609001377AA</t>
  </si>
  <si>
    <t>LEFT COVER</t>
  </si>
  <si>
    <t>Пластиковая заглушка</t>
  </si>
  <si>
    <t>806001103AA</t>
  </si>
  <si>
    <t>BRACKET OF W H ENGINE</t>
  </si>
  <si>
    <t>кронштейн крепления проводки подкапотного пространства к кузову</t>
  </si>
  <si>
    <t>153000119AA</t>
  </si>
  <si>
    <t>GASKET CATALYST</t>
  </si>
  <si>
    <t>Прокладка глушителя из многослойной стали</t>
  </si>
  <si>
    <t>153000207AA</t>
  </si>
  <si>
    <t>HANGER</t>
  </si>
  <si>
    <t>Подвес глушителя</t>
  </si>
  <si>
    <t>155001616AA</t>
  </si>
  <si>
    <t>OUTLET PIPE II-CARBON CANISTER SOLENOID VALVE</t>
  </si>
  <si>
    <t>159000013AA</t>
  </si>
  <si>
    <t>VACUUM TUBE</t>
  </si>
  <si>
    <t>вакуумный шланг для подключения к впускному коллектору</t>
  </si>
  <si>
    <t>159000030AA</t>
  </si>
  <si>
    <t>METAL VACUUM TUBE BRACKET</t>
  </si>
  <si>
    <t>Кронштейн крепления вакуумной трубки к двигателю</t>
  </si>
  <si>
    <t>J42-1101016</t>
  </si>
  <si>
    <t>PROTECTING SLEEVE BREATHE FILLING HOSE</t>
  </si>
  <si>
    <t>Рукав защитный заправочного шланга</t>
  </si>
  <si>
    <t>302000128AA</t>
  </si>
  <si>
    <t>AIR DUCT ASSY OF CAC INLET Ⅱ</t>
  </si>
  <si>
    <t>Воздуховод системы питания двигателя. Изготовлен из пластика.</t>
  </si>
  <si>
    <t>T15-2810211</t>
  </si>
  <si>
    <t>BRACKET LH</t>
  </si>
  <si>
    <t>Левая скобка</t>
  </si>
  <si>
    <t>T15-2810212</t>
  </si>
  <si>
    <t>BRACKET RH</t>
  </si>
  <si>
    <t>Правая скобка</t>
  </si>
  <si>
    <t>W022-A</t>
  </si>
  <si>
    <t>159000016AA</t>
  </si>
  <si>
    <t>METAL VACUUM TUBE</t>
  </si>
  <si>
    <t>Вакуумный трубопровод</t>
  </si>
  <si>
    <t>T11-2906030BU</t>
  </si>
  <si>
    <t>FRONT CONNECTING ROD ASSY.</t>
  </si>
  <si>
    <t>Стойка стабилизатора передней подвески</t>
  </si>
  <si>
    <t>F4J16-1008016BA</t>
  </si>
  <si>
    <t>BRACKET-INTAKE MANIFOLD</t>
  </si>
  <si>
    <t>Кронштейн крепления впускного коллектора к корпусу двигателя</t>
  </si>
  <si>
    <t>602000268AA</t>
  </si>
  <si>
    <t>FRONT WHEEL SPOILER LH</t>
  </si>
  <si>
    <t xml:space="preserve">Левый передний спойлер </t>
  </si>
  <si>
    <t>602000269AA</t>
  </si>
  <si>
    <t>FRONT WHEEL SPOILER RH</t>
  </si>
  <si>
    <t xml:space="preserve">Правый передний спойлер </t>
  </si>
  <si>
    <t>W023-A</t>
  </si>
  <si>
    <t>F4J16-1118091AC</t>
  </si>
  <si>
    <t>ERCV</t>
  </si>
  <si>
    <t>Клапан сброса давления тутбонагнетателя двигателя. Материал корпуса - полиамид.</t>
  </si>
  <si>
    <t>206000117AA</t>
  </si>
  <si>
    <t>ENGIN SUPPORT LEFT</t>
  </si>
  <si>
    <t>Опора двигателя левая</t>
  </si>
  <si>
    <t>T15-1208010BA</t>
  </si>
  <si>
    <t>CARBON CANISTER ASSY</t>
  </si>
  <si>
    <t>Абсорбционный фильтр паров топлива</t>
  </si>
  <si>
    <t>W024-A</t>
  </si>
  <si>
    <t>M11-1200019</t>
  </si>
  <si>
    <t>HANGER II</t>
  </si>
  <si>
    <t>M11-2911045</t>
  </si>
  <si>
    <t>REAR SPRING LOWER BUSHER</t>
  </si>
  <si>
    <t>Нижняя подушка задней винтовой пружины</t>
  </si>
  <si>
    <t>203000943AA</t>
  </si>
  <si>
    <t>WHEEL CAP</t>
  </si>
  <si>
    <t>Колпак ступицы колеса</t>
  </si>
  <si>
    <t>206000119AB</t>
  </si>
  <si>
    <t>ENGIN MOUNT RR UPR</t>
  </si>
  <si>
    <t>Опора двигателя задняя, верхняя</t>
  </si>
  <si>
    <t>302001246AA</t>
  </si>
  <si>
    <t>HOPE-COOLING HOPE ASSY. TO CABIN HEATER</t>
  </si>
  <si>
    <t>Впускной патрубок отопителя салона</t>
  </si>
  <si>
    <t>302001247AA</t>
  </si>
  <si>
    <t>HOPE-CABIN HEATER TO COOLING HOPE ASSY.</t>
  </si>
  <si>
    <t>Выпускной патрубок отопителя салона</t>
  </si>
  <si>
    <t>807001024AA</t>
  </si>
  <si>
    <t>BATTERY SUPPRESS BOARD</t>
  </si>
  <si>
    <t>Прижимная пластина аккумулятора</t>
  </si>
  <si>
    <t>W025-A</t>
  </si>
  <si>
    <t>609001779AA</t>
  </si>
  <si>
    <t>HOOD GARNISH COVER ASSY RH</t>
  </si>
  <si>
    <t>Пластиковая накладка боковины моторного отсека, правая</t>
  </si>
  <si>
    <t>609001778AA</t>
  </si>
  <si>
    <t>HOOD GARNISH COVER ASSY LH</t>
  </si>
  <si>
    <t>Пластиковая накладка боковины моторного отсека, левая</t>
  </si>
  <si>
    <t>Z006-A31</t>
  </si>
  <si>
    <t>Z006-A32</t>
  </si>
  <si>
    <t>Z006-A33</t>
  </si>
  <si>
    <t>Z006-A34</t>
  </si>
  <si>
    <t>Z006-A35</t>
  </si>
  <si>
    <t>Z006-A36</t>
  </si>
  <si>
    <t>JIEU8018290</t>
  </si>
  <si>
    <t>SFT076603</t>
  </si>
  <si>
    <t>W002-A1</t>
  </si>
  <si>
    <t>Z003-A4</t>
  </si>
  <si>
    <t>12</t>
  </si>
  <si>
    <t>Z003-A5</t>
  </si>
  <si>
    <t>Z003-A6</t>
  </si>
  <si>
    <t>Z004-A1</t>
  </si>
  <si>
    <t>T1EJ-2050P01AA</t>
  </si>
  <si>
    <t>SUBFRAME ASSEMBLY</t>
  </si>
  <si>
    <t>Передняя поперечная рама с подвеской в сборе</t>
  </si>
  <si>
    <t>Z004-A10</t>
  </si>
  <si>
    <t>Z004-A2</t>
  </si>
  <si>
    <t>Z004-A3</t>
  </si>
  <si>
    <t>Z004-A4</t>
  </si>
  <si>
    <t>Z004-A5</t>
  </si>
  <si>
    <t>Z004-A6</t>
  </si>
  <si>
    <t>Z004-A7</t>
  </si>
  <si>
    <t>Z004-A8</t>
  </si>
  <si>
    <t>Z004-A9</t>
  </si>
  <si>
    <t>Z006-A37</t>
  </si>
  <si>
    <t>Z006-A38</t>
  </si>
  <si>
    <t>Z006-A39</t>
  </si>
  <si>
    <t>Z006-A40</t>
  </si>
  <si>
    <t>TIIU6128400</t>
  </si>
  <si>
    <t>SFT066037</t>
  </si>
  <si>
    <t>Z008-A59</t>
  </si>
  <si>
    <t>T1EJ-2050P02AA</t>
  </si>
  <si>
    <t>REAR SUSPENSION</t>
  </si>
  <si>
    <t>Задняя подвеска в сборе</t>
  </si>
  <si>
    <t>153000977AA</t>
  </si>
  <si>
    <t>MUFFLER ASSEMBLY</t>
  </si>
  <si>
    <t>Глушитель в сборе</t>
  </si>
  <si>
    <t>Z008-A60</t>
  </si>
  <si>
    <t>TIIU6445894</t>
  </si>
  <si>
    <t>SFT069578</t>
  </si>
  <si>
    <t>Z008-A10</t>
  </si>
  <si>
    <t>Z008-A9</t>
  </si>
  <si>
    <t>TIIU6448168</t>
  </si>
  <si>
    <t>SFT069506</t>
  </si>
  <si>
    <t>Z008-A41</t>
  </si>
  <si>
    <t>Z008-A42</t>
  </si>
  <si>
    <t>TIIU6448511</t>
  </si>
  <si>
    <t>SFT069472</t>
  </si>
  <si>
    <t>Z008-A51</t>
  </si>
  <si>
    <t>Z008-A52</t>
  </si>
  <si>
    <t>TIIU6448888</t>
  </si>
  <si>
    <t>SFT066032</t>
  </si>
  <si>
    <t>Z008-A57</t>
  </si>
  <si>
    <t>Z008-A58</t>
  </si>
  <si>
    <t>TIIU6451304</t>
  </si>
  <si>
    <t>SFT066018</t>
  </si>
  <si>
    <t>Z008-A55</t>
  </si>
  <si>
    <t>Z008-A56</t>
  </si>
  <si>
    <t>TIIU6451829</t>
  </si>
  <si>
    <t>SFT069929</t>
  </si>
  <si>
    <t>Z008-A47</t>
  </si>
  <si>
    <t>Z008-A48</t>
  </si>
  <si>
    <t>TIIU6451860</t>
  </si>
  <si>
    <t>SFT069571</t>
  </si>
  <si>
    <t>Z008-A7</t>
  </si>
  <si>
    <t>Z008-A8</t>
  </si>
  <si>
    <t>TIIU6451897</t>
  </si>
  <si>
    <t>SFT069573</t>
  </si>
  <si>
    <t>Z008-A1</t>
  </si>
  <si>
    <t>Z008-A2</t>
  </si>
  <si>
    <t>TIIU6453400</t>
  </si>
  <si>
    <t>SFT069575</t>
  </si>
  <si>
    <t>Z008-A11</t>
  </si>
  <si>
    <t>Z008-A12</t>
  </si>
  <si>
    <t>TIIU6453544</t>
  </si>
  <si>
    <t>SFT069586</t>
  </si>
  <si>
    <t>Z008-A15</t>
  </si>
  <si>
    <t>Z008-A16</t>
  </si>
  <si>
    <t>TIIU6453631</t>
  </si>
  <si>
    <t>SFT069590</t>
  </si>
  <si>
    <t>Z008-A31</t>
  </si>
  <si>
    <t>Z008-A32</t>
  </si>
  <si>
    <t>TIIU6453652</t>
  </si>
  <si>
    <t>SFT069579</t>
  </si>
  <si>
    <t>Z008-A3</t>
  </si>
  <si>
    <t>Z008-A4</t>
  </si>
  <si>
    <t>TIIU6453673</t>
  </si>
  <si>
    <t>SFT069505</t>
  </si>
  <si>
    <t>Z008-A33</t>
  </si>
  <si>
    <t>Z008-A34</t>
  </si>
  <si>
    <t>TIIU6453760</t>
  </si>
  <si>
    <t>SFT069501</t>
  </si>
  <si>
    <t>Z008-A53</t>
  </si>
  <si>
    <t>Z008-A54</t>
  </si>
  <si>
    <t>TIIU6455594</t>
  </si>
  <si>
    <t>SFT069589</t>
  </si>
  <si>
    <t>Z008-A37</t>
  </si>
  <si>
    <t>Z008-A38</t>
  </si>
  <si>
    <t>TIIU6455655</t>
  </si>
  <si>
    <t>SFT069566</t>
  </si>
  <si>
    <t>Z008-A39</t>
  </si>
  <si>
    <t>Z008-A40</t>
  </si>
  <si>
    <t>TIIU6455871</t>
  </si>
  <si>
    <t>SFT069479</t>
  </si>
  <si>
    <t>Z008-A49</t>
  </si>
  <si>
    <t>Z008-A50</t>
  </si>
  <si>
    <t>TIIU6456203</t>
  </si>
  <si>
    <t>SFT069564</t>
  </si>
  <si>
    <t>Z008-A45</t>
  </si>
  <si>
    <t>Z008-A46</t>
  </si>
  <si>
    <t>TIIU6456266</t>
  </si>
  <si>
    <t>SFT069572</t>
  </si>
  <si>
    <t>Z008-A5</t>
  </si>
  <si>
    <t>Z008-A6</t>
  </si>
  <si>
    <t>TIIU6456271</t>
  </si>
  <si>
    <t>SFT069582</t>
  </si>
  <si>
    <t>Z008-A29</t>
  </si>
  <si>
    <t>Z008-A30</t>
  </si>
  <si>
    <t>TIIU6456306</t>
  </si>
  <si>
    <t>SFT069580</t>
  </si>
  <si>
    <t>Z008-A13</t>
  </si>
  <si>
    <t>Z008-A14</t>
  </si>
  <si>
    <t>TIIU6456374</t>
  </si>
  <si>
    <t>SFT069583</t>
  </si>
  <si>
    <t>Z008-A35</t>
  </si>
  <si>
    <t>Z008-A36</t>
  </si>
  <si>
    <t>TIIU6456991</t>
  </si>
  <si>
    <t>SFT069565</t>
  </si>
  <si>
    <t>Z008-A43</t>
  </si>
  <si>
    <t>Z008-A44</t>
  </si>
  <si>
    <t>TIIU6457853</t>
  </si>
  <si>
    <t>SFT069581</t>
  </si>
  <si>
    <t>Z008-A27</t>
  </si>
  <si>
    <t>Z008-A28</t>
  </si>
  <si>
    <t>TIIU6457982</t>
  </si>
  <si>
    <t>SFT069584</t>
  </si>
  <si>
    <t>Z008-A25</t>
  </si>
  <si>
    <t>Z008-A26</t>
  </si>
  <si>
    <t>TIIU6458000</t>
  </si>
  <si>
    <t>SFT069587</t>
  </si>
  <si>
    <t>Z008-A19</t>
  </si>
  <si>
    <t>7</t>
  </si>
  <si>
    <t>Z008-A20</t>
  </si>
  <si>
    <t>TIIU6459624</t>
  </si>
  <si>
    <t>SFT069588</t>
  </si>
  <si>
    <t>Z008-A23</t>
  </si>
  <si>
    <t>Z008-A24</t>
  </si>
  <si>
    <t>TIIU6459645</t>
  </si>
  <si>
    <t>SFT069574</t>
  </si>
  <si>
    <t>Z008-A17</t>
  </si>
  <si>
    <t>Z008-A18</t>
  </si>
  <si>
    <t>TIIU6459732</t>
  </si>
  <si>
    <t>SFT069577</t>
  </si>
  <si>
    <t>Z008-A21</t>
  </si>
  <si>
    <t>Z008-A22</t>
  </si>
  <si>
    <t>43115-DT1EJ20250101-B</t>
  </si>
  <si>
    <t xml:space="preserve">CONTRACT NO. AGM-2024-1 DATED 25.09.2024
</t>
  </si>
  <si>
    <t>BODY</t>
  </si>
  <si>
    <t>Z001-A117</t>
  </si>
  <si>
    <t>T7160NPBWJWDA22</t>
  </si>
  <si>
    <t>NEW PEARL WHITE PAINT BODY ASSEMBLY</t>
  </si>
  <si>
    <t>Окрашенный кузов в сборе</t>
  </si>
  <si>
    <t>Z001-A118</t>
  </si>
  <si>
    <t>Z001-A119</t>
  </si>
  <si>
    <t>11</t>
  </si>
  <si>
    <t>Z001-A120</t>
  </si>
  <si>
    <t>Z001-A17</t>
  </si>
  <si>
    <t>Z001-A18</t>
  </si>
  <si>
    <t>Z001-A19</t>
  </si>
  <si>
    <t>Z001-A20</t>
  </si>
  <si>
    <t>Z001-A81</t>
  </si>
  <si>
    <t>Z001-A82</t>
  </si>
  <si>
    <t>Z001-A83</t>
  </si>
  <si>
    <t>Z001-A84</t>
  </si>
  <si>
    <t>Z001-A101</t>
  </si>
  <si>
    <t>Z001-A102</t>
  </si>
  <si>
    <t>Z001-A103</t>
  </si>
  <si>
    <t>103</t>
  </si>
  <si>
    <t>Z001-A104</t>
  </si>
  <si>
    <t>Z001-A113</t>
  </si>
  <si>
    <t>78</t>
  </si>
  <si>
    <t>Z001-A114</t>
  </si>
  <si>
    <t>Z001-A115</t>
  </si>
  <si>
    <t>Z001-A116</t>
  </si>
  <si>
    <t>Z001-A109</t>
  </si>
  <si>
    <t>Z001-A110</t>
  </si>
  <si>
    <t>Z001-A111</t>
  </si>
  <si>
    <t>Z001-A112</t>
  </si>
  <si>
    <t>Z001-A93</t>
  </si>
  <si>
    <t>Z001-A94</t>
  </si>
  <si>
    <t>Z001-A95</t>
  </si>
  <si>
    <t>Z001-A96</t>
  </si>
  <si>
    <t>Z001-A13</t>
  </si>
  <si>
    <t>Z001-A14</t>
  </si>
  <si>
    <t>Z001-A15</t>
  </si>
  <si>
    <t>Z001-A16</t>
  </si>
  <si>
    <t>Z001-A1</t>
  </si>
  <si>
    <t>Z001-A2</t>
  </si>
  <si>
    <t>Z001-A3</t>
  </si>
  <si>
    <t>Z001-A4</t>
  </si>
  <si>
    <t>Z001-A21</t>
  </si>
  <si>
    <t>Z001-A22</t>
  </si>
  <si>
    <t>Z001-A23</t>
  </si>
  <si>
    <t>Z001-A24</t>
  </si>
  <si>
    <t>Z001-A29</t>
  </si>
  <si>
    <t>Z001-A30</t>
  </si>
  <si>
    <t>Z001-A31</t>
  </si>
  <si>
    <t>Z001-A32</t>
  </si>
  <si>
    <t>Z001-A61</t>
  </si>
  <si>
    <t>Z001-A62</t>
  </si>
  <si>
    <t>Z001-A63</t>
  </si>
  <si>
    <t>Z001-A64</t>
  </si>
  <si>
    <t>Z001-A5</t>
  </si>
  <si>
    <t>Z001-A6</t>
  </si>
  <si>
    <t>Z001-A7</t>
  </si>
  <si>
    <t>Z001-A8</t>
  </si>
  <si>
    <t>Z001-A65</t>
  </si>
  <si>
    <t>Z001-A66</t>
  </si>
  <si>
    <t>Z001-A67</t>
  </si>
  <si>
    <t>Z001-A68</t>
  </si>
  <si>
    <t>Z001-A105</t>
  </si>
  <si>
    <t>Z001-A106</t>
  </si>
  <si>
    <t>Z001-A107</t>
  </si>
  <si>
    <t>Z001-A108</t>
  </si>
  <si>
    <t>Z001-A73</t>
  </si>
  <si>
    <t>Z001-A74</t>
  </si>
  <si>
    <t>Z001-A75</t>
  </si>
  <si>
    <t>Z001-A76</t>
  </si>
  <si>
    <t>Z001-A77</t>
  </si>
  <si>
    <t>Z001-A78</t>
  </si>
  <si>
    <t>Z001-A79</t>
  </si>
  <si>
    <t>Z001-A80</t>
  </si>
  <si>
    <t>Z001-A100</t>
  </si>
  <si>
    <t>Z001-A97</t>
  </si>
  <si>
    <t>Z001-A98</t>
  </si>
  <si>
    <t>Z001-A99</t>
  </si>
  <si>
    <t>Z001-A89</t>
  </si>
  <si>
    <t>Z001-A90</t>
  </si>
  <si>
    <t>Z001-A91</t>
  </si>
  <si>
    <t>Z001-A92</t>
  </si>
  <si>
    <t>Z001-A10</t>
  </si>
  <si>
    <t>Z001-A11</t>
  </si>
  <si>
    <t>Z001-A12</t>
  </si>
  <si>
    <t>Z001-A9</t>
  </si>
  <si>
    <t>Z001-A57</t>
  </si>
  <si>
    <t>Z001-A58</t>
  </si>
  <si>
    <t>Z001-A59</t>
  </si>
  <si>
    <t>Z001-A60</t>
  </si>
  <si>
    <t>Z001-A25</t>
  </si>
  <si>
    <t>Z001-A26</t>
  </si>
  <si>
    <t>Z001-A27</t>
  </si>
  <si>
    <t>Z001-A28</t>
  </si>
  <si>
    <t>Z001-A69</t>
  </si>
  <si>
    <t>Z001-A70</t>
  </si>
  <si>
    <t>Z001-A71</t>
  </si>
  <si>
    <t>Z001-A72</t>
  </si>
  <si>
    <t>Z001-A85</t>
  </si>
  <si>
    <t>Z001-A86</t>
  </si>
  <si>
    <t>Z001-A87</t>
  </si>
  <si>
    <t>Z001-A88</t>
  </si>
  <si>
    <t>Z001-A53</t>
  </si>
  <si>
    <t>Z001-A54</t>
  </si>
  <si>
    <t>Z001-A55</t>
  </si>
  <si>
    <t>Z001-A56</t>
  </si>
  <si>
    <t>Z001-A49</t>
  </si>
  <si>
    <t>Z001-A50</t>
  </si>
  <si>
    <t>Z001-A51</t>
  </si>
  <si>
    <t>Z001-A52</t>
  </si>
  <si>
    <t>Z001-A37</t>
  </si>
  <si>
    <t>Z001-A38</t>
  </si>
  <si>
    <t>Z001-A39</t>
  </si>
  <si>
    <t>Z001-A40</t>
  </si>
  <si>
    <t>Z001-A45</t>
  </si>
  <si>
    <t>Z001-A46</t>
  </si>
  <si>
    <t>Z001-A47</t>
  </si>
  <si>
    <t>Z001-A48</t>
  </si>
  <si>
    <t>Z001-A33</t>
  </si>
  <si>
    <t>Z001-A34</t>
  </si>
  <si>
    <t>Z001-A35</t>
  </si>
  <si>
    <t>106</t>
  </si>
  <si>
    <t>Z001-A36</t>
  </si>
  <si>
    <t>Z001-A41</t>
  </si>
  <si>
    <t>Z001-A42</t>
  </si>
  <si>
    <t>Z001-A43</t>
  </si>
  <si>
    <t>Z001-A44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</si>
</sst>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);[Red]\(0.00\)"/>
    <numFmt numFmtId="177" formatCode="0.000_);[Red]\(0.000\)"/>
    <numFmt numFmtId="178" formatCode="0.000_ "/>
  </numFmts>
  <fonts count="50">
    <font>
      <sz val="11"/>
      <color indexed="8"/>
      <name val="宋体"/>
      <charset val="134"/>
      <scheme val="minor"/>
    </font>
    <font>
      <sz val="11"/>
      <color indexed="8"/>
      <name val="等线"/>
      <charset val="134"/>
    </font>
    <font>
      <sz val="10"/>
      <color indexed="8"/>
      <name val="宋体"/>
      <charset val="134"/>
      <scheme val="minor"/>
    </font>
    <font>
      <b/>
      <sz val="10"/>
      <name val="Tahoma"/>
      <charset val="134"/>
    </font>
    <font>
      <b/>
      <sz val="10"/>
      <name val="等线"/>
      <charset val="134"/>
    </font>
    <font>
      <b/>
      <sz val="10"/>
      <name val="宋体"/>
      <charset val="134"/>
    </font>
    <font>
      <b/>
      <i/>
      <sz val="10"/>
      <name val="Tahoma"/>
      <charset val="134"/>
    </font>
    <font>
      <b/>
      <sz val="12"/>
      <name val="Tahoma"/>
      <charset val="134"/>
    </font>
    <font>
      <b/>
      <sz val="12"/>
      <name val="宋体"/>
      <charset val="134"/>
    </font>
    <font>
      <sz val="9"/>
      <color theme="1"/>
      <name val="Arial"/>
      <charset val="134"/>
    </font>
    <font>
      <sz val="10"/>
      <name val="Times New Roman"/>
      <charset val="134"/>
    </font>
    <font>
      <sz val="11"/>
      <color indexed="8"/>
      <name val="宋体"/>
      <charset val="134"/>
      <scheme val="minor"/>
    </font>
    <font>
      <sz val="12"/>
      <name val="宋体"/>
      <charset val="134"/>
    </font>
    <font>
      <sz val="11"/>
      <name val="Times New Roman"/>
      <charset val="134"/>
    </font>
    <font>
      <b/>
      <sz val="14"/>
      <name val="Times New Roman"/>
      <charset val="134"/>
    </font>
    <font>
      <b/>
      <sz val="11"/>
      <name val="Times New Roman"/>
      <charset val="134"/>
    </font>
    <font>
      <b/>
      <sz val="10"/>
      <name val="Times New Roman"/>
      <charset val="134"/>
    </font>
    <font>
      <b/>
      <sz val="12"/>
      <name val="Times New Roman"/>
      <charset val="134"/>
    </font>
    <font>
      <sz val="11"/>
      <color theme="1"/>
      <name val="Times New Roman"/>
      <charset val="134"/>
    </font>
    <font>
      <sz val="12"/>
      <name val="Times New Roman"/>
      <charset val="134"/>
    </font>
    <font>
      <b/>
      <sz val="12"/>
      <color theme="0"/>
      <name val="宋体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0"/>
      <name val="Arial Cyr"/>
      <charset val="134"/>
    </font>
    <font>
      <sz val="11"/>
      <color theme="1"/>
      <name val="宋体"/>
      <charset val="134"/>
      <scheme val="minor"/>
    </font>
    <font>
      <sz val="10"/>
      <name val="Arial"/>
      <charset val="134"/>
    </font>
    <font>
      <b/>
      <sz val="10"/>
      <name val="Arial Narrow"/>
      <charset val="134"/>
    </font>
    <font>
      <b/>
      <sz val="11"/>
      <name val="Segoe UI Symbol"/>
      <charset val="134"/>
    </font>
    <font>
      <b/>
      <sz val="9"/>
      <color indexed="8"/>
      <name val="宋体"/>
      <charset val="134"/>
    </font>
    <font>
      <sz val="9"/>
      <color indexed="8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3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3">
    <xf numFmtId="0" fontId="0" fillId="0" borderId="0">
      <alignment vertical="center"/>
    </xf>
    <xf numFmtId="43" fontId="21" fillId="0" borderId="0" applyFont="0" applyFill="0" applyBorder="0" applyAlignment="0" applyProtection="0">
      <alignment vertical="center"/>
    </xf>
    <xf numFmtId="44" fontId="21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2" fontId="21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1" fillId="7" borderId="8" applyNumberFormat="0" applyFont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9" applyNumberFormat="0" applyFill="0" applyAlignment="0" applyProtection="0">
      <alignment vertical="center"/>
    </xf>
    <xf numFmtId="0" fontId="28" fillId="0" borderId="9" applyNumberFormat="0" applyFill="0" applyAlignment="0" applyProtection="0">
      <alignment vertical="center"/>
    </xf>
    <xf numFmtId="0" fontId="29" fillId="0" borderId="10" applyNumberFormat="0" applyFill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8" borderId="11" applyNumberFormat="0" applyAlignment="0" applyProtection="0">
      <alignment vertical="center"/>
    </xf>
    <xf numFmtId="0" fontId="31" fillId="9" borderId="12" applyNumberFormat="0" applyAlignment="0" applyProtection="0">
      <alignment vertical="center"/>
    </xf>
    <xf numFmtId="0" fontId="32" fillId="9" borderId="11" applyNumberFormat="0" applyAlignment="0" applyProtection="0">
      <alignment vertical="center"/>
    </xf>
    <xf numFmtId="0" fontId="33" fillId="10" borderId="13" applyNumberFormat="0" applyAlignment="0" applyProtection="0">
      <alignment vertical="center"/>
    </xf>
    <xf numFmtId="0" fontId="34" fillId="0" borderId="14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39" fillId="16" borderId="0" applyNumberFormat="0" applyBorder="0" applyAlignment="0" applyProtection="0">
      <alignment vertical="center"/>
    </xf>
    <xf numFmtId="0" fontId="39" fillId="17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39" fillId="20" borderId="0" applyNumberFormat="0" applyBorder="0" applyAlignment="0" applyProtection="0">
      <alignment vertical="center"/>
    </xf>
    <xf numFmtId="0" fontId="39" fillId="21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39" fillId="24" borderId="0" applyNumberFormat="0" applyBorder="0" applyAlignment="0" applyProtection="0">
      <alignment vertical="center"/>
    </xf>
    <xf numFmtId="0" fontId="39" fillId="25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39" fillId="28" borderId="0" applyNumberFormat="0" applyBorder="0" applyAlignment="0" applyProtection="0">
      <alignment vertical="center"/>
    </xf>
    <xf numFmtId="0" fontId="39" fillId="29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39" fillId="32" borderId="0" applyNumberFormat="0" applyBorder="0" applyAlignment="0" applyProtection="0">
      <alignment vertical="center"/>
    </xf>
    <xf numFmtId="0" fontId="39" fillId="33" borderId="0" applyNumberFormat="0" applyBorder="0" applyAlignment="0" applyProtection="0">
      <alignment vertical="center"/>
    </xf>
    <xf numFmtId="0" fontId="40" fillId="34" borderId="0" applyNumberFormat="0" applyBorder="0" applyAlignment="0" applyProtection="0">
      <alignment vertical="center"/>
    </xf>
    <xf numFmtId="0" fontId="40" fillId="35" borderId="0" applyNumberFormat="0" applyBorder="0" applyAlignment="0" applyProtection="0">
      <alignment vertical="center"/>
    </xf>
    <xf numFmtId="0" fontId="39" fillId="36" borderId="0" applyNumberFormat="0" applyBorder="0" applyAlignment="0" applyProtection="0">
      <alignment vertical="center"/>
    </xf>
    <xf numFmtId="0" fontId="41" fillId="0" borderId="0">
      <alignment vertical="center"/>
    </xf>
    <xf numFmtId="0" fontId="12" fillId="0" borderId="0">
      <alignment vertical="center"/>
    </xf>
    <xf numFmtId="0" fontId="42" fillId="0" borderId="0">
      <alignment vertical="center"/>
    </xf>
    <xf numFmtId="0" fontId="43" fillId="0" borderId="0"/>
  </cellStyleXfs>
  <cellXfs count="9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2" fillId="0" borderId="0" xfId="0" applyFont="1" applyFill="1">
      <alignment vertical="center"/>
    </xf>
    <xf numFmtId="0" fontId="2" fillId="2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2" borderId="0" xfId="0" applyFont="1" applyFill="1">
      <alignment vertical="center"/>
    </xf>
    <xf numFmtId="0" fontId="2" fillId="0" borderId="0" xfId="0" applyFont="1" applyFill="1" applyAlignment="1">
      <alignment horizontal="center" vertical="center"/>
    </xf>
    <xf numFmtId="0" fontId="3" fillId="3" borderId="1" xfId="52" applyFont="1" applyFill="1" applyBorder="1" applyAlignment="1">
      <alignment horizontal="center" vertical="center" wrapText="1"/>
    </xf>
    <xf numFmtId="0" fontId="3" fillId="2" borderId="1" xfId="52" applyFont="1" applyFill="1" applyBorder="1" applyAlignment="1">
      <alignment horizontal="center" vertical="center" wrapText="1"/>
    </xf>
    <xf numFmtId="0" fontId="3" fillId="2" borderId="1" xfId="52" applyFont="1" applyFill="1" applyBorder="1" applyAlignment="1">
      <alignment horizontal="left" vertical="center" wrapText="1"/>
    </xf>
    <xf numFmtId="0" fontId="4" fillId="2" borderId="1" xfId="52" applyFont="1" applyFill="1" applyBorder="1" applyAlignment="1">
      <alignment horizontal="left" vertical="center" wrapText="1"/>
    </xf>
    <xf numFmtId="176" fontId="3" fillId="2" borderId="1" xfId="52" applyNumberFormat="1" applyFont="1" applyFill="1" applyBorder="1" applyAlignment="1">
      <alignment horizontal="center" vertical="center" wrapText="1"/>
    </xf>
    <xf numFmtId="176" fontId="5" fillId="2" borderId="1" xfId="52" applyNumberFormat="1" applyFont="1" applyFill="1" applyBorder="1" applyAlignment="1">
      <alignment horizontal="center" vertical="center" wrapText="1"/>
    </xf>
    <xf numFmtId="176" fontId="3" fillId="3" borderId="1" xfId="52" applyNumberFormat="1" applyFont="1" applyFill="1" applyBorder="1" applyAlignment="1">
      <alignment horizontal="center" vertical="center" wrapText="1"/>
    </xf>
    <xf numFmtId="177" fontId="3" fillId="3" borderId="1" xfId="52" applyNumberFormat="1" applyFont="1" applyFill="1" applyBorder="1" applyAlignment="1">
      <alignment horizontal="center" vertical="center" wrapText="1"/>
    </xf>
    <xf numFmtId="177" fontId="6" fillId="3" borderId="1" xfId="52" applyNumberFormat="1" applyFont="1" applyFill="1" applyBorder="1" applyAlignment="1">
      <alignment horizontal="center" vertical="center" wrapText="1"/>
    </xf>
    <xf numFmtId="0" fontId="2" fillId="4" borderId="0" xfId="0" applyFont="1" applyFill="1" applyAlignment="1">
      <alignment horizontal="center" vertical="center"/>
    </xf>
    <xf numFmtId="0" fontId="7" fillId="2" borderId="1" xfId="52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178" fontId="9" fillId="0" borderId="2" xfId="0" applyNumberFormat="1" applyFont="1" applyFill="1" applyBorder="1" applyAlignment="1">
      <alignment horizontal="center" vertical="center"/>
    </xf>
    <xf numFmtId="178" fontId="10" fillId="0" borderId="1" xfId="0" applyNumberFormat="1" applyFont="1" applyFill="1" applyBorder="1" applyAlignment="1">
      <alignment vertical="center" wrapText="1"/>
    </xf>
    <xf numFmtId="0" fontId="10" fillId="0" borderId="2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vertical="center" wrapText="1"/>
    </xf>
    <xf numFmtId="178" fontId="9" fillId="0" borderId="3" xfId="0" applyNumberFormat="1" applyFont="1" applyFill="1" applyBorder="1" applyAlignment="1">
      <alignment horizontal="center" vertical="center"/>
    </xf>
    <xf numFmtId="0" fontId="10" fillId="0" borderId="3" xfId="0" applyFont="1" applyFill="1" applyBorder="1" applyAlignment="1">
      <alignment horizontal="center" vertical="center" wrapText="1"/>
    </xf>
    <xf numFmtId="0" fontId="11" fillId="0" borderId="0" xfId="0" applyFont="1" applyAlignment="1"/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176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8" fontId="9" fillId="0" borderId="4" xfId="0" applyNumberFormat="1" applyFont="1" applyFill="1" applyBorder="1" applyAlignment="1">
      <alignment horizontal="center" vertical="center"/>
    </xf>
    <xf numFmtId="0" fontId="10" fillId="0" borderId="4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12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 wrapText="1"/>
    </xf>
    <xf numFmtId="0" fontId="13" fillId="0" borderId="0" xfId="0" applyFont="1" applyFill="1" applyBorder="1" applyAlignment="1">
      <alignment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vertical="center" wrapText="1"/>
    </xf>
    <xf numFmtId="0" fontId="13" fillId="0" borderId="1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left" vertical="center" wrapText="1"/>
    </xf>
    <xf numFmtId="0" fontId="16" fillId="0" borderId="1" xfId="0" applyFont="1" applyFill="1" applyBorder="1" applyAlignment="1">
      <alignment horizontal="center" vertical="center" wrapText="1"/>
    </xf>
    <xf numFmtId="0" fontId="13" fillId="0" borderId="1" xfId="0" applyFont="1" applyFill="1" applyBorder="1" applyAlignment="1">
      <alignment horizontal="right" vertical="center" wrapText="1"/>
    </xf>
    <xf numFmtId="14" fontId="13" fillId="0" borderId="1" xfId="0" applyNumberFormat="1" applyFont="1" applyFill="1" applyBorder="1" applyAlignment="1">
      <alignment horizontal="left" vertical="center" wrapText="1"/>
    </xf>
    <xf numFmtId="0" fontId="13" fillId="5" borderId="1" xfId="0" applyFont="1" applyFill="1" applyBorder="1" applyAlignment="1">
      <alignment horizontal="center" vertical="center" wrapText="1"/>
    </xf>
    <xf numFmtId="0" fontId="17" fillId="0" borderId="1" xfId="0" applyFont="1" applyFill="1" applyBorder="1" applyAlignment="1">
      <alignment horizontal="center" vertical="top" wrapText="1"/>
    </xf>
    <xf numFmtId="0" fontId="18" fillId="0" borderId="5" xfId="0" applyFont="1" applyFill="1" applyBorder="1" applyAlignment="1">
      <alignment horizontal="center" vertical="center" wrapText="1"/>
    </xf>
    <xf numFmtId="0" fontId="18" fillId="0" borderId="6" xfId="0" applyFont="1" applyFill="1" applyBorder="1" applyAlignment="1">
      <alignment horizontal="center" vertical="center" wrapText="1"/>
    </xf>
    <xf numFmtId="0" fontId="18" fillId="0" borderId="7" xfId="0" applyFont="1" applyFill="1" applyBorder="1" applyAlignment="1">
      <alignment horizontal="center" vertical="center" wrapText="1"/>
    </xf>
    <xf numFmtId="0" fontId="17" fillId="0" borderId="1" xfId="0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vertical="center" wrapText="1"/>
    </xf>
    <xf numFmtId="0" fontId="13" fillId="0" borderId="6" xfId="0" applyFont="1" applyFill="1" applyBorder="1" applyAlignment="1">
      <alignment horizontal="center" vertical="center" wrapText="1"/>
    </xf>
    <xf numFmtId="0" fontId="13" fillId="0" borderId="7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/>
    </xf>
    <xf numFmtId="0" fontId="7" fillId="0" borderId="1" xfId="52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 wrapText="1"/>
    </xf>
    <xf numFmtId="0" fontId="9" fillId="0" borderId="1" xfId="0" applyNumberFormat="1" applyFont="1" applyFill="1" applyBorder="1" applyAlignment="1">
      <alignment horizontal="center"/>
    </xf>
    <xf numFmtId="0" fontId="10" fillId="2" borderId="1" xfId="0" applyFont="1" applyFill="1" applyBorder="1" applyAlignment="1">
      <alignment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9" fillId="0" borderId="4" xfId="0" applyNumberFormat="1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 vertical="center" wrapText="1"/>
    </xf>
    <xf numFmtId="0" fontId="10" fillId="2" borderId="4" xfId="0" applyFont="1" applyFill="1" applyBorder="1" applyAlignment="1">
      <alignment horizontal="center" vertical="center" wrapText="1"/>
    </xf>
    <xf numFmtId="0" fontId="15" fillId="0" borderId="5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5" fillId="0" borderId="7" xfId="0" applyFont="1" applyFill="1" applyBorder="1" applyAlignment="1">
      <alignment horizontal="center" vertical="center" wrapText="1"/>
    </xf>
    <xf numFmtId="0" fontId="15" fillId="0" borderId="4" xfId="0" applyFont="1" applyFill="1" applyBorder="1" applyAlignment="1">
      <alignment vertical="center" wrapText="1"/>
    </xf>
    <xf numFmtId="178" fontId="13" fillId="0" borderId="4" xfId="49" applyNumberFormat="1" applyFont="1" applyFill="1" applyBorder="1" applyAlignment="1" applyProtection="1">
      <alignment horizontal="center" vertical="center" wrapText="1"/>
    </xf>
    <xf numFmtId="178" fontId="13" fillId="0" borderId="1" xfId="49" applyNumberFormat="1" applyFont="1" applyFill="1" applyBorder="1" applyAlignment="1" applyProtection="1">
      <alignment horizontal="center" vertical="center" wrapText="1"/>
    </xf>
    <xf numFmtId="0" fontId="12" fillId="0" borderId="1" xfId="0" applyFont="1" applyFill="1" applyBorder="1" applyAlignment="1">
      <alignment vertical="center"/>
    </xf>
    <xf numFmtId="0" fontId="15" fillId="0" borderId="4" xfId="0" applyFont="1" applyFill="1" applyBorder="1" applyAlignment="1">
      <alignment horizontal="center" vertical="center" wrapText="1"/>
    </xf>
    <xf numFmtId="0" fontId="19" fillId="0" borderId="0" xfId="0" applyFont="1" applyFill="1" applyBorder="1" applyAlignment="1">
      <alignment horizontal="right" vertical="center" wrapText="1"/>
    </xf>
    <xf numFmtId="0" fontId="20" fillId="2" borderId="0" xfId="0" applyFont="1" applyFill="1" applyBorder="1" applyAlignment="1">
      <alignment vertical="center"/>
    </xf>
    <xf numFmtId="0" fontId="20" fillId="6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horizontal="right" vertical="center" wrapText="1"/>
    </xf>
    <xf numFmtId="177" fontId="19" fillId="0" borderId="0" xfId="0" applyNumberFormat="1" applyFont="1" applyFill="1" applyBorder="1" applyAlignment="1">
      <alignment horizontal="right" vertical="center" wrapText="1"/>
    </xf>
    <xf numFmtId="177" fontId="19" fillId="0" borderId="0" xfId="50" applyNumberFormat="1" applyFont="1" applyFill="1" applyBorder="1" applyAlignment="1">
      <alignment horizontal="right" vertical="center" wrapText="1"/>
    </xf>
    <xf numFmtId="14" fontId="13" fillId="0" borderId="1" xfId="0" applyNumberFormat="1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 wrapText="1"/>
    </xf>
    <xf numFmtId="178" fontId="9" fillId="0" borderId="1" xfId="0" applyNumberFormat="1" applyFont="1" applyFill="1" applyBorder="1" applyAlignment="1">
      <alignment horizontal="center"/>
    </xf>
    <xf numFmtId="0" fontId="9" fillId="0" borderId="5" xfId="0" applyFont="1" applyFill="1" applyBorder="1" applyAlignment="1">
      <alignment horizontal="center"/>
    </xf>
    <xf numFmtId="0" fontId="9" fillId="0" borderId="7" xfId="0" applyFont="1" applyFill="1" applyBorder="1" applyAlignment="1">
      <alignment horizontal="center"/>
    </xf>
    <xf numFmtId="178" fontId="10" fillId="2" borderId="1" xfId="0" applyNumberFormat="1" applyFont="1" applyFill="1" applyBorder="1" applyAlignment="1">
      <alignment vertical="center" wrapText="1"/>
    </xf>
    <xf numFmtId="178" fontId="13" fillId="2" borderId="1" xfId="49" applyNumberFormat="1" applyFont="1" applyFill="1" applyBorder="1" applyAlignment="1" applyProtection="1">
      <alignment horizontal="center" vertical="center" wrapText="1"/>
    </xf>
  </cellXfs>
  <cellStyles count="53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Обычный 3" xfId="49"/>
    <cellStyle name="常规 2" xfId="50"/>
    <cellStyle name="常规 4 2" xfId="51"/>
    <cellStyle name="常规_合同发票箱单 委托书" xf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1155700</xdr:colOff>
          <xdr:row>0</xdr:row>
          <xdr:rowOff>152400</xdr:rowOff>
        </xdr:from>
        <xdr:to>
          <xdr:col>13</xdr:col>
          <xdr:colOff>2374900</xdr:colOff>
          <xdr:row>0</xdr:row>
          <xdr:rowOff>520700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8776950" y="152400"/>
              <a:ext cx="1219200" cy="3683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0</xdr:row>
          <xdr:rowOff>273050</xdr:rowOff>
        </xdr:from>
        <xdr:to>
          <xdr:col>9</xdr:col>
          <xdr:colOff>171450</xdr:colOff>
          <xdr:row>1</xdr:row>
          <xdr:rowOff>57150</xdr:rowOff>
        </xdr:to>
        <xdr:sp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11918950" y="273050"/>
              <a:ext cx="1219200" cy="3683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FF00"/>
    <pageSetUpPr fitToPage="1"/>
  </sheetPr>
  <dimension ref="A1:I232"/>
  <sheetViews>
    <sheetView zoomScale="70" zoomScaleNormal="70" topLeftCell="A9" workbookViewId="0">
      <selection activeCell="D12" sqref="D12"/>
    </sheetView>
  </sheetViews>
  <sheetFormatPr defaultColWidth="12.3636363636364" defaultRowHeight="14"/>
  <cols>
    <col min="1" max="1" width="15.9090909090909" style="43" customWidth="1"/>
    <col min="2" max="2" width="21.0909090909091" style="43" customWidth="1"/>
    <col min="3" max="4" width="28" style="43" customWidth="1"/>
    <col min="5" max="5" width="15.3636363636364" style="43" customWidth="1"/>
    <col min="6" max="6" width="20" style="43" customWidth="1"/>
    <col min="7" max="7" width="14.8181818181818" style="43" customWidth="1"/>
    <col min="8" max="16384" width="12.3636363636364" style="43"/>
  </cols>
  <sheetData>
    <row r="1" s="41" customFormat="1" ht="47.25" customHeight="1" spans="1:9">
      <c r="A1" s="44" t="s">
        <v>0</v>
      </c>
      <c r="B1" s="44"/>
      <c r="C1" s="44"/>
      <c r="D1" s="44"/>
      <c r="E1" s="44"/>
      <c r="F1" s="44"/>
      <c r="G1" s="44"/>
    </row>
    <row r="2" s="41" customFormat="1" ht="47.25" customHeight="1" spans="1:9">
      <c r="A2" s="46" t="s">
        <v>1</v>
      </c>
      <c r="B2" s="46"/>
      <c r="C2" s="46"/>
      <c r="D2" s="46"/>
      <c r="E2" s="46"/>
      <c r="F2" s="46"/>
      <c r="G2" s="46"/>
    </row>
    <row r="3" s="41" customFormat="1" ht="36" customHeight="1" spans="1:9">
      <c r="A3" s="46" t="s">
        <v>2</v>
      </c>
      <c r="B3" s="46"/>
      <c r="C3" s="46"/>
      <c r="D3" s="46"/>
      <c r="E3" s="46"/>
      <c r="F3" s="46" t="s">
        <v>3</v>
      </c>
      <c r="G3" s="48"/>
    </row>
    <row r="4" s="41" customFormat="1" ht="33.75" customHeight="1" spans="1:9">
      <c r="A4" s="49" t="s">
        <v>4</v>
      </c>
      <c r="B4" s="49"/>
      <c r="C4" s="46" t="s">
        <v>5</v>
      </c>
      <c r="D4" s="46"/>
      <c r="E4" s="46"/>
      <c r="F4" s="50" t="s">
        <v>6</v>
      </c>
      <c r="G4" s="50"/>
    </row>
    <row r="5" s="41" customFormat="1" ht="40" customHeight="1" spans="1:9">
      <c r="A5" s="51"/>
      <c r="B5" s="51"/>
      <c r="C5" s="87">
        <v>45677</v>
      </c>
      <c r="D5" s="87"/>
      <c r="E5" s="87"/>
      <c r="F5" s="53" t="s">
        <v>7</v>
      </c>
      <c r="G5" s="53"/>
    </row>
    <row r="6" s="41" customFormat="1" ht="31.5" customHeight="1" spans="1:9">
      <c r="A6" s="46" t="s">
        <v>8</v>
      </c>
      <c r="B6" s="46"/>
      <c r="C6" s="46" t="s">
        <v>9</v>
      </c>
      <c r="D6" s="46"/>
      <c r="E6" s="46"/>
      <c r="F6" s="46"/>
      <c r="G6" s="46"/>
    </row>
    <row r="7" s="41" customFormat="1" ht="36" customHeight="1" spans="1:9">
      <c r="A7" s="46" t="s">
        <v>10</v>
      </c>
      <c r="B7" s="46"/>
      <c r="C7" s="48" t="s">
        <v>11</v>
      </c>
      <c r="D7" s="48"/>
      <c r="E7" s="48"/>
      <c r="F7" s="46"/>
      <c r="G7" s="46"/>
    </row>
    <row r="8" s="41" customFormat="1" ht="72" customHeight="1" spans="1:9">
      <c r="A8" s="54" t="s">
        <v>12</v>
      </c>
      <c r="B8" s="54"/>
      <c r="C8" s="88" t="s">
        <v>13</v>
      </c>
      <c r="D8" s="88"/>
      <c r="E8" s="88"/>
      <c r="F8" s="88"/>
      <c r="G8" s="88"/>
    </row>
    <row r="9" s="41" customFormat="1" ht="72" customHeight="1" spans="1:9">
      <c r="A9" s="58" t="s">
        <v>14</v>
      </c>
      <c r="B9" s="58"/>
      <c r="C9" s="48" t="s">
        <v>15</v>
      </c>
      <c r="D9" s="48"/>
      <c r="E9" s="48"/>
      <c r="F9" s="48"/>
      <c r="G9" s="48"/>
    </row>
    <row r="10" s="41" customFormat="1" ht="72" customHeight="1" spans="1:9">
      <c r="A10" s="46" t="s">
        <v>16</v>
      </c>
      <c r="B10" s="46"/>
      <c r="C10" s="48" t="s">
        <v>15</v>
      </c>
      <c r="D10" s="48"/>
      <c r="E10" s="48"/>
      <c r="F10" s="48"/>
      <c r="G10" s="48"/>
    </row>
    <row r="11" s="41" customFormat="1" ht="44" customHeight="1" spans="1:9">
      <c r="A11" s="62" t="s">
        <v>17</v>
      </c>
      <c r="B11" s="63"/>
      <c r="C11" s="63"/>
      <c r="D11" s="63"/>
      <c r="E11" s="63"/>
      <c r="F11" s="63"/>
      <c r="G11" s="63"/>
    </row>
    <row r="12" s="41" customFormat="1" ht="87.5" customHeight="1" spans="1:9">
      <c r="A12" s="64" t="s">
        <v>18</v>
      </c>
      <c r="B12" s="64" t="s">
        <v>19</v>
      </c>
      <c r="C12" s="64" t="s">
        <v>20</v>
      </c>
      <c r="D12" s="64" t="s">
        <v>21</v>
      </c>
      <c r="E12" s="64" t="s">
        <v>22</v>
      </c>
      <c r="F12" s="64" t="s">
        <v>23</v>
      </c>
      <c r="G12" s="64" t="s">
        <v>24</v>
      </c>
      <c r="H12" s="64" t="s">
        <v>25</v>
      </c>
      <c r="I12" s="64" t="s">
        <v>26</v>
      </c>
    </row>
    <row r="13" s="42" customFormat="1" ht="24" customHeight="1" spans="1:9">
      <c r="A13" s="65">
        <v>1</v>
      </c>
      <c r="B13" s="65"/>
      <c r="C13" s="65"/>
      <c r="D13" s="65"/>
      <c r="E13" s="67"/>
      <c r="F13" s="89"/>
      <c r="G13" s="24">
        <f>ROUND(F13*E13,2)</f>
        <v>0</v>
      </c>
    </row>
    <row r="14" s="42" customFormat="1" ht="24" customHeight="1" spans="1:9">
      <c r="A14" s="90" t="s">
        <v>27</v>
      </c>
      <c r="B14" s="91"/>
      <c r="C14" s="65"/>
      <c r="D14" s="65"/>
      <c r="E14" s="67"/>
      <c r="F14" s="89"/>
      <c r="G14" s="92"/>
    </row>
    <row r="15" s="42" customFormat="1" ht="24" customHeight="1" spans="1:9">
      <c r="A15" s="90" t="s">
        <v>28</v>
      </c>
      <c r="B15" s="91"/>
      <c r="C15" s="65"/>
      <c r="D15" s="65"/>
      <c r="E15" s="67"/>
      <c r="F15" s="89"/>
      <c r="G15" s="92"/>
    </row>
    <row r="16" s="41" customFormat="1" ht="28.5" customHeight="1" spans="1:9">
      <c r="A16" s="46" t="s">
        <v>29</v>
      </c>
      <c r="B16" s="46"/>
      <c r="C16" s="46"/>
      <c r="D16" s="46"/>
      <c r="E16" s="46"/>
      <c r="F16" s="78"/>
      <c r="G16" s="93">
        <f ca="1">SUM(INDIRECT(SUBSTITUTE(SUBSTITUTE(ADDRESS(1,COLUMN()),"$",""),"1","")&amp;"13"&amp;":"&amp;SUBSTITUTE(SUBSTITUTE(ADDRESS(1,COLUMN()),"$",""),"1","")&amp;ROW()-1))</f>
        <v>0</v>
      </c>
    </row>
    <row r="17" s="41" customFormat="1" ht="40" customHeight="1" spans="3:6">
      <c r="C17" s="43"/>
      <c r="D17" s="43"/>
      <c r="E17" s="43"/>
      <c r="F17" s="84"/>
    </row>
    <row r="18" s="41" customFormat="1" ht="40" customHeight="1" spans="3:6">
      <c r="F18" s="84"/>
    </row>
    <row r="19" s="41" customFormat="1" ht="40" customHeight="1" spans="3:6">
      <c r="F19" s="85"/>
    </row>
    <row r="20" s="41" customFormat="1" ht="40" customHeight="1" spans="3:6">
      <c r="F20" s="81"/>
    </row>
    <row r="21" s="41" customFormat="1" ht="40" customHeight="1" spans="3:6">
      <c r="F21" s="86"/>
    </row>
    <row r="22" s="41" customFormat="1" ht="40" customHeight="1" spans="3:6">
      <c r="F22" s="86"/>
    </row>
    <row r="23" s="41" customFormat="1" ht="43" customHeight="1" spans="3:6">
      <c r="F23" s="84"/>
    </row>
    <row r="24" s="41" customFormat="1" ht="15"/>
    <row r="25" s="41" customFormat="1" ht="15"/>
    <row r="26" s="41" customFormat="1" ht="15"/>
    <row r="27" s="41" customFormat="1" ht="15"/>
    <row r="28" s="41" customFormat="1" ht="15"/>
    <row r="29" s="41" customFormat="1" ht="15"/>
    <row r="30" s="41" customFormat="1" ht="15"/>
    <row r="31" s="41" customFormat="1" ht="15"/>
    <row r="32" s="41" customFormat="1" ht="15"/>
    <row r="33" s="41" customFormat="1" ht="15"/>
    <row r="34" s="41" customFormat="1" ht="15"/>
    <row r="35" s="41" customFormat="1" ht="15"/>
    <row r="36" s="41" customFormat="1" ht="15"/>
    <row r="37" s="41" customFormat="1" ht="15"/>
    <row r="38" s="41" customFormat="1" ht="15"/>
    <row r="39" s="41" customFormat="1" ht="15"/>
    <row r="40" s="41" customFormat="1" ht="15"/>
    <row r="41" s="41" customFormat="1" ht="15"/>
    <row r="42" s="41" customFormat="1" ht="15"/>
    <row r="43" s="41" customFormat="1" ht="15"/>
    <row r="44" s="41" customFormat="1" ht="15"/>
    <row r="45" s="41" customFormat="1" ht="15"/>
    <row r="46" s="41" customFormat="1" ht="15"/>
    <row r="47" s="41" customFormat="1" ht="15"/>
    <row r="48" s="41" customFormat="1" ht="15"/>
    <row r="49" s="41" customFormat="1" ht="15"/>
    <row r="50" s="41" customFormat="1" ht="15"/>
    <row r="51" s="41" customFormat="1" ht="15"/>
    <row r="52" s="41" customFormat="1" ht="15"/>
    <row r="53" s="41" customFormat="1" ht="15"/>
    <row r="54" s="41" customFormat="1" ht="15"/>
    <row r="55" s="41" customFormat="1" ht="15"/>
    <row r="56" s="41" customFormat="1" ht="15"/>
    <row r="57" s="41" customFormat="1" ht="15"/>
    <row r="58" s="41" customFormat="1" ht="15"/>
    <row r="59" s="41" customFormat="1" ht="15"/>
    <row r="60" s="41" customFormat="1" ht="15"/>
    <row r="61" s="41" customFormat="1" ht="15"/>
    <row r="62" s="41" customFormat="1" ht="15"/>
    <row r="63" s="41" customFormat="1" ht="15"/>
    <row r="64" s="41" customFormat="1" ht="15"/>
    <row r="65" s="41" customFormat="1" ht="15"/>
    <row r="66" s="41" customFormat="1" ht="15"/>
    <row r="67" s="41" customFormat="1" ht="15"/>
    <row r="68" s="41" customFormat="1" ht="15"/>
    <row r="69" s="41" customFormat="1" ht="15"/>
    <row r="70" s="41" customFormat="1" ht="15"/>
    <row r="71" s="41" customFormat="1" ht="15"/>
    <row r="72" s="41" customFormat="1" ht="15"/>
    <row r="73" s="41" customFormat="1" ht="15"/>
    <row r="74" s="41" customFormat="1" ht="15"/>
    <row r="75" s="41" customFormat="1" ht="15"/>
    <row r="76" s="41" customFormat="1" ht="15"/>
    <row r="77" s="41" customFormat="1" ht="15"/>
    <row r="78" s="41" customFormat="1" ht="15"/>
    <row r="79" s="41" customFormat="1" ht="15"/>
    <row r="80" s="41" customFormat="1" ht="15"/>
    <row r="81" s="41" customFormat="1" ht="15"/>
    <row r="82" s="41" customFormat="1" ht="15"/>
    <row r="83" s="41" customFormat="1" ht="15"/>
    <row r="84" s="41" customFormat="1" ht="15"/>
    <row r="85" s="41" customFormat="1" ht="15"/>
    <row r="86" s="41" customFormat="1" ht="15"/>
    <row r="87" s="41" customFormat="1" ht="15"/>
    <row r="88" s="41" customFormat="1" ht="15"/>
    <row r="89" s="41" customFormat="1" ht="15"/>
    <row r="90" s="41" customFormat="1" ht="15"/>
    <row r="91" s="41" customFormat="1" ht="15"/>
    <row r="92" s="41" customFormat="1" ht="15"/>
    <row r="93" s="41" customFormat="1" ht="15"/>
    <row r="94" s="41" customFormat="1" ht="15"/>
    <row r="95" s="41" customFormat="1" ht="15"/>
    <row r="96" s="41" customFormat="1" ht="15"/>
    <row r="97" s="41" customFormat="1" ht="15"/>
    <row r="98" s="41" customFormat="1" ht="15"/>
    <row r="99" s="41" customFormat="1" ht="15"/>
    <row r="100" s="41" customFormat="1" ht="15"/>
    <row r="101" s="41" customFormat="1" ht="15"/>
    <row r="102" s="41" customFormat="1" ht="15"/>
    <row r="103" s="41" customFormat="1" ht="15"/>
    <row r="104" s="41" customFormat="1" ht="15"/>
    <row r="105" s="41" customFormat="1" ht="15"/>
    <row r="106" s="41" customFormat="1" ht="15"/>
    <row r="107" s="41" customFormat="1" ht="15"/>
    <row r="108" s="41" customFormat="1" ht="15"/>
    <row r="109" s="41" customFormat="1" ht="15"/>
    <row r="110" s="41" customFormat="1" ht="15"/>
    <row r="111" s="41" customFormat="1" ht="15"/>
    <row r="112" s="41" customFormat="1" ht="15"/>
    <row r="113" s="41" customFormat="1" ht="15"/>
    <row r="114" s="41" customFormat="1" ht="15"/>
    <row r="115" s="41" customFormat="1" ht="15"/>
    <row r="116" s="41" customFormat="1" ht="15"/>
    <row r="117" s="41" customFormat="1" ht="15"/>
    <row r="118" s="41" customFormat="1" ht="15"/>
    <row r="119" s="41" customFormat="1" ht="15"/>
    <row r="120" s="41" customFormat="1" ht="15"/>
    <row r="121" s="41" customFormat="1" ht="15"/>
    <row r="122" s="41" customFormat="1" ht="15"/>
    <row r="123" s="41" customFormat="1" ht="15"/>
    <row r="124" s="41" customFormat="1" ht="15"/>
    <row r="125" s="41" customFormat="1" ht="15"/>
    <row r="126" s="41" customFormat="1" ht="15"/>
    <row r="127" s="41" customFormat="1" ht="15"/>
    <row r="128" s="41" customFormat="1" ht="15"/>
    <row r="129" s="41" customFormat="1" ht="15"/>
    <row r="130" s="41" customFormat="1" ht="15"/>
    <row r="131" s="41" customFormat="1" ht="15"/>
    <row r="132" s="41" customFormat="1" ht="15"/>
    <row r="133" s="41" customFormat="1" ht="15"/>
    <row r="134" s="41" customFormat="1" ht="15"/>
    <row r="135" s="41" customFormat="1" ht="15"/>
    <row r="136" s="41" customFormat="1" ht="15"/>
    <row r="137" s="41" customFormat="1" ht="15"/>
    <row r="138" s="41" customFormat="1" ht="15"/>
    <row r="139" s="41" customFormat="1" ht="15"/>
    <row r="140" s="41" customFormat="1" ht="15"/>
    <row r="141" s="41" customFormat="1" ht="15"/>
    <row r="142" s="41" customFormat="1" ht="15"/>
    <row r="143" s="41" customFormat="1" ht="15"/>
    <row r="144" s="41" customFormat="1" ht="15"/>
    <row r="145" s="41" customFormat="1" ht="15"/>
    <row r="146" s="41" customFormat="1" ht="15"/>
    <row r="147" s="41" customFormat="1" ht="15"/>
    <row r="148" s="41" customFormat="1" ht="15"/>
    <row r="149" s="41" customFormat="1" ht="15"/>
    <row r="150" s="41" customFormat="1" ht="15"/>
    <row r="151" s="41" customFormat="1" ht="15"/>
    <row r="152" s="41" customFormat="1" ht="15"/>
    <row r="153" s="41" customFormat="1" ht="15"/>
    <row r="154" s="41" customFormat="1" ht="15"/>
    <row r="155" s="41" customFormat="1" ht="15"/>
    <row r="156" s="41" customFormat="1" ht="15"/>
    <row r="157" s="41" customFormat="1" ht="15"/>
    <row r="158" s="41" customFormat="1" ht="15"/>
    <row r="159" s="41" customFormat="1" ht="15"/>
    <row r="160" s="41" customFormat="1" ht="15"/>
    <row r="161" s="41" customFormat="1" ht="15"/>
    <row r="162" s="41" customFormat="1" ht="15"/>
    <row r="163" s="41" customFormat="1" ht="15"/>
    <row r="164" s="41" customFormat="1" ht="15"/>
    <row r="165" s="41" customFormat="1" ht="15"/>
    <row r="166" s="41" customFormat="1" ht="15"/>
    <row r="167" s="41" customFormat="1" ht="15"/>
    <row r="168" s="41" customFormat="1" ht="15"/>
    <row r="169" s="41" customFormat="1" ht="15"/>
    <row r="170" s="41" customFormat="1" ht="15"/>
    <row r="171" s="41" customFormat="1" ht="15"/>
    <row r="172" s="41" customFormat="1" ht="15"/>
    <row r="173" s="41" customFormat="1" ht="15"/>
    <row r="174" s="41" customFormat="1" ht="15"/>
    <row r="175" s="41" customFormat="1" ht="15"/>
    <row r="176" s="41" customFormat="1" ht="15"/>
    <row r="177" s="41" customFormat="1" ht="15"/>
    <row r="178" s="41" customFormat="1" ht="15"/>
    <row r="179" s="41" customFormat="1" ht="15"/>
    <row r="180" s="41" customFormat="1" ht="15"/>
    <row r="181" s="41" customFormat="1" ht="15"/>
    <row r="182" s="41" customFormat="1" ht="15"/>
    <row r="183" s="41" customFormat="1" ht="15"/>
    <row r="184" s="41" customFormat="1" ht="15"/>
    <row r="185" s="41" customFormat="1" ht="15"/>
    <row r="186" s="41" customFormat="1" ht="15"/>
    <row r="187" s="41" customFormat="1" ht="15"/>
    <row r="188" s="41" customFormat="1" ht="15"/>
    <row r="189" s="41" customFormat="1" ht="15"/>
    <row r="190" s="41" customFormat="1" ht="15"/>
    <row r="191" s="41" customFormat="1" ht="15"/>
    <row r="192" s="41" customFormat="1" ht="15"/>
    <row r="193" s="41" customFormat="1" ht="15"/>
    <row r="194" s="41" customFormat="1" ht="15"/>
    <row r="195" s="41" customFormat="1" ht="15"/>
    <row r="196" s="41" customFormat="1" ht="15"/>
    <row r="197" s="41" customFormat="1" ht="15"/>
    <row r="198" s="41" customFormat="1" ht="15"/>
    <row r="199" s="41" customFormat="1" ht="15"/>
    <row r="200" s="41" customFormat="1" ht="15"/>
    <row r="201" s="41" customFormat="1" ht="15"/>
    <row r="202" s="41" customFormat="1" ht="15"/>
    <row r="203" s="41" customFormat="1" ht="15"/>
    <row r="204" s="41" customFormat="1" ht="15"/>
    <row r="205" s="41" customFormat="1" ht="15"/>
    <row r="206" s="41" customFormat="1" ht="15"/>
    <row r="207" s="41" customFormat="1" ht="15"/>
    <row r="208" s="41" customFormat="1" ht="15"/>
    <row r="209" s="41" customFormat="1" ht="15"/>
    <row r="210" s="41" customFormat="1" ht="15"/>
    <row r="211" s="41" customFormat="1" ht="15"/>
    <row r="212" s="41" customFormat="1" ht="15"/>
    <row r="213" s="41" customFormat="1" ht="15"/>
    <row r="214" s="41" customFormat="1" ht="15"/>
    <row r="215" s="41" customFormat="1" ht="15"/>
    <row r="216" s="41" customFormat="1" ht="15"/>
    <row r="217" s="41" customFormat="1" ht="15"/>
    <row r="218" s="41" customFormat="1" ht="15"/>
    <row r="219" s="41" customFormat="1" ht="15"/>
    <row r="220" s="41" customFormat="1" ht="15"/>
    <row r="221" s="41" customFormat="1" ht="15"/>
    <row r="222" s="41" customFormat="1" ht="15"/>
    <row r="223" s="41" customFormat="1" ht="15"/>
    <row r="224" s="41" customFormat="1" ht="15"/>
    <row r="225" s="41" customFormat="1" ht="15"/>
    <row r="226" s="41" customFormat="1" ht="15"/>
    <row r="227" s="41" customFormat="1" ht="15"/>
    <row r="228" s="41" customFormat="1" ht="15"/>
    <row r="229" s="41" customFormat="1" ht="15"/>
    <row r="230" s="41" customFormat="1" ht="15"/>
    <row r="231" s="41" customFormat="1" ht="15"/>
    <row r="232" s="41" customFormat="1" ht="15"/>
  </sheetData>
  <mergeCells count="23">
    <mergeCell ref="A1:G1"/>
    <mergeCell ref="A2:G2"/>
    <mergeCell ref="A3:E3"/>
    <mergeCell ref="A4:B4"/>
    <mergeCell ref="C4:E4"/>
    <mergeCell ref="A5:B5"/>
    <mergeCell ref="C5:E5"/>
    <mergeCell ref="A6:B6"/>
    <mergeCell ref="C6:E6"/>
    <mergeCell ref="F6:G6"/>
    <mergeCell ref="A7:B7"/>
    <mergeCell ref="C7:E7"/>
    <mergeCell ref="F7:G7"/>
    <mergeCell ref="A8:B8"/>
    <mergeCell ref="C8:G8"/>
    <mergeCell ref="A9:B9"/>
    <mergeCell ref="C9:G9"/>
    <mergeCell ref="A10:B10"/>
    <mergeCell ref="C10:G10"/>
    <mergeCell ref="A11:G11"/>
    <mergeCell ref="A14:B14"/>
    <mergeCell ref="A15:B15"/>
    <mergeCell ref="A16:E16"/>
  </mergeCells>
  <pageMargins left="0.0777777777777778" right="0.0777777777777778" top="0" bottom="0" header="0" footer="0.118055555555556"/>
  <pageSetup paperSize="9" scale="50" fitToHeight="0" orientation="landscape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M234"/>
  <sheetViews>
    <sheetView tabSelected="1" zoomScale="55" zoomScaleNormal="55" topLeftCell="A8" workbookViewId="0">
      <selection activeCell="N18" sqref="N18"/>
    </sheetView>
  </sheetViews>
  <sheetFormatPr defaultColWidth="12.3636363636364" defaultRowHeight="14"/>
  <cols>
    <col min="1" max="1" width="15.9090909090909" style="43" customWidth="1"/>
    <col min="2" max="2" width="21.0909090909091" style="43" customWidth="1"/>
    <col min="3" max="3" width="48.1818181818182" style="43" customWidth="1"/>
    <col min="4" max="4" width="12.8181818181818" style="43" customWidth="1"/>
    <col min="5" max="5" width="20" style="43" customWidth="1"/>
    <col min="6" max="6" width="14.8181818181818" style="43" customWidth="1"/>
    <col min="7" max="7" width="12.8181818181818" style="43" customWidth="1"/>
    <col min="8" max="9" width="17.9090909090909" style="43" customWidth="1"/>
    <col min="10" max="10" width="30.8181818181818" style="43" customWidth="1"/>
    <col min="11" max="11" width="12.3636363636364" style="43"/>
    <col min="12" max="12" width="21.6363636363636" style="43" customWidth="1"/>
    <col min="13" max="13" width="17" style="43" customWidth="1"/>
    <col min="14" max="16384" width="12.3636363636364" style="43"/>
  </cols>
  <sheetData>
    <row r="1" s="41" customFormat="1" ht="47.25" customHeight="1" spans="1:13">
      <c r="A1" s="44" t="s">
        <v>0</v>
      </c>
      <c r="B1" s="44"/>
      <c r="C1" s="44"/>
      <c r="D1" s="44"/>
      <c r="E1" s="44"/>
      <c r="F1" s="44"/>
      <c r="G1" s="45"/>
      <c r="H1" s="45"/>
      <c r="I1" s="45"/>
      <c r="J1" s="45"/>
      <c r="K1" s="45"/>
      <c r="L1" s="45"/>
      <c r="M1" s="45"/>
    </row>
    <row r="2" s="41" customFormat="1" ht="47.25" customHeight="1" spans="1:13">
      <c r="A2" s="46" t="s">
        <v>1</v>
      </c>
      <c r="B2" s="46"/>
      <c r="C2" s="46"/>
      <c r="D2" s="46"/>
      <c r="E2" s="46"/>
      <c r="F2" s="46"/>
      <c r="G2" s="47"/>
      <c r="H2" s="47"/>
      <c r="I2" s="47"/>
      <c r="J2" s="47"/>
      <c r="K2" s="47"/>
      <c r="L2" s="47"/>
      <c r="M2" s="47"/>
    </row>
    <row r="3" s="41" customFormat="1" ht="36" customHeight="1" spans="1:13">
      <c r="A3" s="46" t="s">
        <v>30</v>
      </c>
      <c r="B3" s="46"/>
      <c r="C3" s="46"/>
      <c r="D3" s="46"/>
      <c r="E3" s="46"/>
      <c r="F3" s="48"/>
    </row>
    <row r="4" s="41" customFormat="1" ht="33.75" customHeight="1" spans="1:13">
      <c r="A4" s="49" t="s">
        <v>4</v>
      </c>
      <c r="B4" s="49"/>
      <c r="C4" s="49" t="s">
        <v>5</v>
      </c>
      <c r="D4" s="49"/>
      <c r="E4" s="50" t="s">
        <v>6</v>
      </c>
      <c r="F4" s="50"/>
    </row>
    <row r="5" s="41" customFormat="1" ht="40" customHeight="1" spans="1:13">
      <c r="A5" s="51"/>
      <c r="B5" s="51"/>
      <c r="C5" s="52">
        <v>45677</v>
      </c>
      <c r="D5" s="52"/>
      <c r="E5" s="53" t="s">
        <v>7</v>
      </c>
      <c r="F5" s="53"/>
    </row>
    <row r="6" s="41" customFormat="1" ht="31.5" customHeight="1" spans="1:13">
      <c r="A6" s="46" t="s">
        <v>8</v>
      </c>
      <c r="B6" s="46"/>
      <c r="C6" s="46" t="s">
        <v>9</v>
      </c>
      <c r="D6" s="46"/>
      <c r="E6" s="46"/>
      <c r="F6" s="46"/>
    </row>
    <row r="7" s="41" customFormat="1" ht="36" customHeight="1" spans="1:13">
      <c r="A7" s="46" t="s">
        <v>10</v>
      </c>
      <c r="B7" s="46"/>
      <c r="C7" s="48" t="s">
        <v>11</v>
      </c>
      <c r="D7" s="48"/>
      <c r="E7" s="46"/>
      <c r="F7" s="46"/>
    </row>
    <row r="8" s="41" customFormat="1" ht="72" customHeight="1" spans="1:13">
      <c r="A8" s="54" t="s">
        <v>12</v>
      </c>
      <c r="B8" s="54"/>
      <c r="C8" s="55" t="s">
        <v>13</v>
      </c>
      <c r="D8" s="56"/>
      <c r="E8" s="56"/>
      <c r="F8" s="57"/>
    </row>
    <row r="9" s="41" customFormat="1" ht="72" customHeight="1" spans="1:13">
      <c r="A9" s="58" t="s">
        <v>14</v>
      </c>
      <c r="B9" s="58"/>
      <c r="C9" s="59" t="s">
        <v>15</v>
      </c>
      <c r="D9" s="60"/>
      <c r="E9" s="60"/>
      <c r="F9" s="61"/>
    </row>
    <row r="10" s="41" customFormat="1" ht="72" customHeight="1" spans="1:13">
      <c r="A10" s="46" t="s">
        <v>16</v>
      </c>
      <c r="B10" s="46"/>
      <c r="C10" s="59" t="s">
        <v>15</v>
      </c>
      <c r="D10" s="60"/>
      <c r="E10" s="60"/>
      <c r="F10" s="61"/>
    </row>
    <row r="11" s="41" customFormat="1" ht="44" customHeight="1" spans="1:13">
      <c r="A11" s="62" t="s">
        <v>17</v>
      </c>
      <c r="B11" s="63"/>
      <c r="C11" s="63"/>
      <c r="D11" s="63"/>
      <c r="E11" s="63"/>
      <c r="F11" s="63"/>
    </row>
    <row r="12" s="41" customFormat="1" ht="87.5" customHeight="1" spans="1:13">
      <c r="A12" s="64" t="s">
        <v>31</v>
      </c>
      <c r="B12" s="64" t="s">
        <v>19</v>
      </c>
      <c r="C12" s="64" t="s">
        <v>20</v>
      </c>
      <c r="D12" s="64" t="s">
        <v>22</v>
      </c>
      <c r="E12" s="64" t="s">
        <v>32</v>
      </c>
      <c r="F12" s="62" t="s">
        <v>33</v>
      </c>
      <c r="G12" s="62" t="s">
        <v>34</v>
      </c>
      <c r="H12" s="62" t="s">
        <v>35</v>
      </c>
      <c r="I12" s="62" t="s">
        <v>36</v>
      </c>
      <c r="J12" s="62" t="s">
        <v>37</v>
      </c>
      <c r="K12" s="62" t="s">
        <v>38</v>
      </c>
      <c r="L12" s="62" t="s">
        <v>39</v>
      </c>
      <c r="M12" s="62" t="s">
        <v>40</v>
      </c>
    </row>
    <row r="13" s="42" customFormat="1" ht="24" customHeight="1" spans="1:13">
      <c r="A13" s="65">
        <v>1</v>
      </c>
      <c r="B13" s="65" t="s">
        <v>41</v>
      </c>
      <c r="C13" s="66" t="s">
        <v>42</v>
      </c>
      <c r="D13" s="67">
        <v>20</v>
      </c>
      <c r="E13" s="23">
        <v>1</v>
      </c>
      <c r="F13" s="24">
        <v>179</v>
      </c>
      <c r="G13" s="68">
        <v>224.95</v>
      </c>
      <c r="H13" s="25">
        <v>293.72</v>
      </c>
      <c r="I13" s="25" t="s">
        <v>43</v>
      </c>
      <c r="J13" s="69">
        <v>2.87</v>
      </c>
      <c r="K13" s="25">
        <v>9</v>
      </c>
      <c r="L13" s="26" t="s">
        <v>44</v>
      </c>
      <c r="M13" s="26" t="s">
        <v>45</v>
      </c>
    </row>
    <row r="14" s="42" customFormat="1" ht="24" customHeight="1" spans="1:13">
      <c r="A14" s="65">
        <v>2</v>
      </c>
      <c r="B14" s="65" t="s">
        <v>46</v>
      </c>
      <c r="C14" s="66" t="s">
        <v>47</v>
      </c>
      <c r="D14" s="70">
        <v>4</v>
      </c>
      <c r="E14" s="27"/>
      <c r="F14" s="24">
        <v>38.47</v>
      </c>
      <c r="G14" s="68">
        <v>48.35</v>
      </c>
      <c r="H14" s="28"/>
      <c r="I14" s="28"/>
      <c r="J14" s="71"/>
      <c r="K14" s="28"/>
      <c r="L14" s="26" t="s">
        <v>44</v>
      </c>
      <c r="M14" s="26" t="s">
        <v>45</v>
      </c>
    </row>
    <row r="15" s="42" customFormat="1" ht="24" customHeight="1" spans="1:13">
      <c r="A15" s="65">
        <v>3</v>
      </c>
      <c r="B15" s="65" t="s">
        <v>48</v>
      </c>
      <c r="C15" s="66" t="s">
        <v>49</v>
      </c>
      <c r="D15" s="70">
        <v>4</v>
      </c>
      <c r="E15" s="36"/>
      <c r="F15" s="24">
        <v>16.24</v>
      </c>
      <c r="G15" s="68">
        <v>20.42</v>
      </c>
      <c r="H15" s="37"/>
      <c r="I15" s="37"/>
      <c r="J15" s="72"/>
      <c r="K15" s="37"/>
      <c r="L15" s="26" t="s">
        <v>44</v>
      </c>
      <c r="M15" s="26" t="s">
        <v>45</v>
      </c>
    </row>
    <row r="16" s="41" customFormat="1" ht="28.5" customHeight="1" spans="1:13">
      <c r="A16" s="73" t="s">
        <v>29</v>
      </c>
      <c r="B16" s="74"/>
      <c r="C16" s="75"/>
      <c r="D16" s="76">
        <f>SUM(D13)</f>
        <v>20</v>
      </c>
      <c r="E16" s="77">
        <f>SUM(E13)</f>
        <v>1</v>
      </c>
      <c r="F16" s="78">
        <f>SUM(F13)</f>
        <v>179</v>
      </c>
      <c r="G16" s="79">
        <f>SUM(G13)</f>
        <v>224.95</v>
      </c>
      <c r="H16" s="79">
        <f>SUM(H13)</f>
        <v>293.72</v>
      </c>
      <c r="I16" s="79"/>
      <c r="J16" s="79">
        <f>SUM(J13)</f>
        <v>2.87</v>
      </c>
      <c r="K16" s="79"/>
      <c r="L16" s="79"/>
      <c r="M16" s="79"/>
    </row>
    <row r="17" s="41" customFormat="1" ht="22.5" customHeight="1" spans="1:11">
      <c r="A17" s="46"/>
      <c r="B17" s="46"/>
      <c r="C17" s="46"/>
      <c r="D17" s="46"/>
      <c r="E17" s="46"/>
      <c r="F17" s="80"/>
    </row>
    <row r="18" s="41" customFormat="1" ht="40" customHeight="1" spans="1:11">
      <c r="E18" s="81"/>
      <c r="G18" s="82" t="s">
        <v>50</v>
      </c>
      <c r="H18" s="83"/>
      <c r="I18" s="83"/>
      <c r="J18" s="83"/>
      <c r="K18" s="83"/>
    </row>
    <row r="19" s="41" customFormat="1" ht="40" customHeight="1" spans="1:11">
      <c r="C19" s="43"/>
      <c r="D19" s="43"/>
      <c r="E19" s="84"/>
    </row>
    <row r="20" s="41" customFormat="1" ht="40" customHeight="1" spans="1:11">
      <c r="E20" s="84"/>
    </row>
    <row r="21" s="41" customFormat="1" ht="40" customHeight="1" spans="1:11">
      <c r="E21" s="85"/>
    </row>
    <row r="22" s="41" customFormat="1" ht="40" customHeight="1" spans="1:11">
      <c r="E22" s="81"/>
    </row>
    <row r="23" s="41" customFormat="1" ht="40" customHeight="1" spans="1:11">
      <c r="E23" s="86"/>
    </row>
    <row r="24" s="41" customFormat="1" ht="40" customHeight="1" spans="1:11">
      <c r="E24" s="86"/>
    </row>
    <row r="25" s="41" customFormat="1" ht="43" customHeight="1" spans="1:11">
      <c r="E25" s="84"/>
    </row>
    <row r="26" s="41" customFormat="1" ht="15"/>
    <row r="27" s="41" customFormat="1" ht="15"/>
    <row r="28" s="41" customFormat="1" ht="15"/>
    <row r="29" s="41" customFormat="1" ht="15"/>
    <row r="30" s="41" customFormat="1" ht="15"/>
    <row r="31" s="41" customFormat="1" ht="15"/>
    <row r="32" s="41" customFormat="1" ht="15"/>
    <row r="33" s="41" customFormat="1" ht="15"/>
    <row r="34" s="41" customFormat="1" ht="15"/>
    <row r="35" s="41" customFormat="1" ht="15"/>
    <row r="36" s="41" customFormat="1" ht="15"/>
    <row r="37" s="41" customFormat="1" ht="15"/>
    <row r="38" s="41" customFormat="1" ht="15"/>
    <row r="39" s="41" customFormat="1" ht="15"/>
    <row r="40" s="41" customFormat="1" ht="15"/>
    <row r="41" s="41" customFormat="1" ht="15"/>
    <row r="42" s="41" customFormat="1" ht="15"/>
    <row r="43" s="41" customFormat="1" ht="15"/>
    <row r="44" s="41" customFormat="1" ht="15"/>
    <row r="45" s="41" customFormat="1" ht="15"/>
    <row r="46" s="41" customFormat="1" ht="15"/>
    <row r="47" s="41" customFormat="1" ht="15"/>
    <row r="48" s="41" customFormat="1" ht="15"/>
    <row r="49" s="41" customFormat="1" ht="15"/>
    <row r="50" s="41" customFormat="1" ht="15"/>
    <row r="51" s="41" customFormat="1" ht="15"/>
    <row r="52" s="41" customFormat="1" ht="15"/>
    <row r="53" s="41" customFormat="1" ht="15"/>
    <row r="54" s="41" customFormat="1" ht="15"/>
    <row r="55" s="41" customFormat="1" ht="15"/>
    <row r="56" s="41" customFormat="1" ht="15"/>
    <row r="57" s="41" customFormat="1" ht="15"/>
    <row r="58" s="41" customFormat="1" ht="15"/>
    <row r="59" s="41" customFormat="1" ht="15"/>
    <row r="60" s="41" customFormat="1" ht="15"/>
    <row r="61" s="41" customFormat="1" ht="15"/>
    <row r="62" s="41" customFormat="1" ht="15"/>
    <row r="63" s="41" customFormat="1" ht="15"/>
    <row r="64" s="41" customFormat="1" ht="15"/>
    <row r="65" s="41" customFormat="1" ht="15"/>
    <row r="66" s="41" customFormat="1" ht="15"/>
    <row r="67" s="41" customFormat="1" ht="15"/>
    <row r="68" s="41" customFormat="1" ht="15"/>
    <row r="69" s="41" customFormat="1" ht="15"/>
    <row r="70" s="41" customFormat="1" ht="15"/>
    <row r="71" s="41" customFormat="1" ht="15"/>
    <row r="72" s="41" customFormat="1" ht="15"/>
    <row r="73" s="41" customFormat="1" ht="15"/>
    <row r="74" s="41" customFormat="1" ht="15"/>
    <row r="75" s="41" customFormat="1" ht="15"/>
    <row r="76" s="41" customFormat="1" ht="15"/>
    <row r="77" s="41" customFormat="1" ht="15"/>
    <row r="78" s="41" customFormat="1" ht="15"/>
    <row r="79" s="41" customFormat="1" ht="15"/>
    <row r="80" s="41" customFormat="1" ht="15"/>
    <row r="81" s="41" customFormat="1" ht="15"/>
    <row r="82" s="41" customFormat="1" ht="15"/>
    <row r="83" s="41" customFormat="1" ht="15"/>
    <row r="84" s="41" customFormat="1" ht="15"/>
    <row r="85" s="41" customFormat="1" ht="15"/>
    <row r="86" s="41" customFormat="1" ht="15"/>
    <row r="87" s="41" customFormat="1" ht="15"/>
    <row r="88" s="41" customFormat="1" ht="15"/>
    <row r="89" s="41" customFormat="1" ht="15"/>
    <row r="90" s="41" customFormat="1" ht="15"/>
    <row r="91" s="41" customFormat="1" ht="15"/>
    <row r="92" s="41" customFormat="1" ht="15"/>
    <row r="93" s="41" customFormat="1" ht="15"/>
    <row r="94" s="41" customFormat="1" ht="15"/>
    <row r="95" s="41" customFormat="1" ht="15"/>
    <row r="96" s="41" customFormat="1" ht="15"/>
    <row r="97" s="41" customFormat="1" ht="15"/>
    <row r="98" s="41" customFormat="1" ht="15"/>
    <row r="99" s="41" customFormat="1" ht="15"/>
    <row r="100" s="41" customFormat="1" ht="15"/>
    <row r="101" s="41" customFormat="1" ht="15"/>
    <row r="102" s="41" customFormat="1" ht="15"/>
    <row r="103" s="41" customFormat="1" ht="15"/>
    <row r="104" s="41" customFormat="1" ht="15"/>
    <row r="105" s="41" customFormat="1" ht="15"/>
    <row r="106" s="41" customFormat="1" ht="15"/>
    <row r="107" s="41" customFormat="1" ht="15"/>
    <row r="108" s="41" customFormat="1" ht="15"/>
    <row r="109" s="41" customFormat="1" ht="15"/>
    <row r="110" s="41" customFormat="1" ht="15"/>
    <row r="111" s="41" customFormat="1" ht="15"/>
    <row r="112" s="41" customFormat="1" ht="15"/>
    <row r="113" s="41" customFormat="1" ht="15"/>
    <row r="114" s="41" customFormat="1" ht="15"/>
    <row r="115" s="41" customFormat="1" ht="15"/>
    <row r="116" s="41" customFormat="1" ht="15"/>
    <row r="117" s="41" customFormat="1" ht="15"/>
    <row r="118" s="41" customFormat="1" ht="15"/>
    <row r="119" s="41" customFormat="1" ht="15"/>
    <row r="120" s="41" customFormat="1" ht="15"/>
    <row r="121" s="41" customFormat="1" ht="15"/>
    <row r="122" s="41" customFormat="1" ht="15"/>
    <row r="123" s="41" customFormat="1" ht="15"/>
    <row r="124" s="41" customFormat="1" ht="15"/>
    <row r="125" s="41" customFormat="1" ht="15"/>
    <row r="126" s="41" customFormat="1" ht="15"/>
    <row r="127" s="41" customFormat="1" ht="15"/>
    <row r="128" s="41" customFormat="1" ht="15"/>
    <row r="129" s="41" customFormat="1" ht="15"/>
    <row r="130" s="41" customFormat="1" ht="15"/>
    <row r="131" s="41" customFormat="1" ht="15"/>
    <row r="132" s="41" customFormat="1" ht="15"/>
    <row r="133" s="41" customFormat="1" ht="15"/>
    <row r="134" s="41" customFormat="1" ht="15"/>
    <row r="135" s="41" customFormat="1" ht="15"/>
    <row r="136" s="41" customFormat="1" ht="15"/>
    <row r="137" s="41" customFormat="1" ht="15"/>
    <row r="138" s="41" customFormat="1" ht="15"/>
    <row r="139" s="41" customFormat="1" ht="15"/>
    <row r="140" s="41" customFormat="1" ht="15"/>
    <row r="141" s="41" customFormat="1" ht="15"/>
    <row r="142" s="41" customFormat="1" ht="15"/>
    <row r="143" s="41" customFormat="1" ht="15"/>
    <row r="144" s="41" customFormat="1" ht="15"/>
    <row r="145" s="41" customFormat="1" ht="15"/>
    <row r="146" s="41" customFormat="1" ht="15"/>
    <row r="147" s="41" customFormat="1" ht="15"/>
    <row r="148" s="41" customFormat="1" ht="15"/>
    <row r="149" s="41" customFormat="1" ht="15"/>
    <row r="150" s="41" customFormat="1" ht="15"/>
    <row r="151" s="41" customFormat="1" ht="15"/>
    <row r="152" s="41" customFormat="1" ht="15"/>
    <row r="153" s="41" customFormat="1" ht="15"/>
    <row r="154" s="41" customFormat="1" ht="15"/>
    <row r="155" s="41" customFormat="1" ht="15"/>
    <row r="156" s="41" customFormat="1" ht="15"/>
    <row r="157" s="41" customFormat="1" ht="15"/>
    <row r="158" s="41" customFormat="1" ht="15"/>
    <row r="159" s="41" customFormat="1" ht="15"/>
    <row r="160" s="41" customFormat="1" ht="15"/>
    <row r="161" s="41" customFormat="1" ht="15"/>
    <row r="162" s="41" customFormat="1" ht="15"/>
    <row r="163" s="41" customFormat="1" ht="15"/>
    <row r="164" s="41" customFormat="1" ht="15"/>
    <row r="165" s="41" customFormat="1" ht="15"/>
    <row r="166" s="41" customFormat="1" ht="15"/>
    <row r="167" s="41" customFormat="1" ht="15"/>
    <row r="168" s="41" customFormat="1" ht="15"/>
    <row r="169" s="41" customFormat="1" ht="15"/>
    <row r="170" s="41" customFormat="1" ht="15"/>
    <row r="171" s="41" customFormat="1" ht="15"/>
    <row r="172" s="41" customFormat="1" ht="15"/>
    <row r="173" s="41" customFormat="1" ht="15"/>
    <row r="174" s="41" customFormat="1" ht="15"/>
    <row r="175" s="41" customFormat="1" ht="15"/>
    <row r="176" s="41" customFormat="1" ht="15"/>
    <row r="177" s="41" customFormat="1" ht="15"/>
    <row r="178" s="41" customFormat="1" ht="15"/>
    <row r="179" s="41" customFormat="1" ht="15"/>
    <row r="180" s="41" customFormat="1" ht="15"/>
    <row r="181" s="41" customFormat="1" ht="15"/>
    <row r="182" s="41" customFormat="1" ht="15"/>
    <row r="183" s="41" customFormat="1" ht="15"/>
    <row r="184" s="41" customFormat="1" ht="15"/>
    <row r="185" s="41" customFormat="1" ht="15"/>
    <row r="186" s="41" customFormat="1" ht="15"/>
    <row r="187" s="41" customFormat="1" ht="15"/>
    <row r="188" s="41" customFormat="1" ht="15"/>
    <row r="189" s="41" customFormat="1" ht="15"/>
    <row r="190" s="41" customFormat="1" ht="15"/>
    <row r="191" s="41" customFormat="1" ht="15"/>
    <row r="192" s="41" customFormat="1" ht="15"/>
    <row r="193" s="41" customFormat="1" ht="15"/>
    <row r="194" s="41" customFormat="1" ht="15"/>
    <row r="195" s="41" customFormat="1" ht="15"/>
    <row r="196" s="41" customFormat="1" ht="15"/>
    <row r="197" s="41" customFormat="1" ht="15"/>
    <row r="198" s="41" customFormat="1" ht="15"/>
    <row r="199" s="41" customFormat="1" ht="15"/>
    <row r="200" s="41" customFormat="1" ht="15"/>
    <row r="201" s="41" customFormat="1" ht="15"/>
    <row r="202" s="41" customFormat="1" ht="15"/>
    <row r="203" s="41" customFormat="1" ht="15"/>
    <row r="204" s="41" customFormat="1" ht="15"/>
    <row r="205" s="41" customFormat="1" ht="15"/>
    <row r="206" s="41" customFormat="1" ht="15"/>
    <row r="207" s="41" customFormat="1" ht="15"/>
    <row r="208" s="41" customFormat="1" ht="15"/>
    <row r="209" s="41" customFormat="1" ht="15"/>
    <row r="210" s="41" customFormat="1" ht="15"/>
    <row r="211" s="41" customFormat="1" ht="15"/>
    <row r="212" s="41" customFormat="1" ht="15"/>
    <row r="213" s="41" customFormat="1" ht="15"/>
    <row r="214" s="41" customFormat="1" ht="15"/>
    <row r="215" s="41" customFormat="1" ht="15"/>
    <row r="216" s="41" customFormat="1" ht="15"/>
    <row r="217" s="41" customFormat="1" ht="15"/>
    <row r="218" s="41" customFormat="1" ht="15"/>
    <row r="219" s="41" customFormat="1" ht="15"/>
    <row r="220" s="41" customFormat="1" ht="15"/>
    <row r="221" s="41" customFormat="1" ht="15"/>
    <row r="222" s="41" customFormat="1" ht="15"/>
    <row r="223" s="41" customFormat="1" ht="15"/>
    <row r="224" s="41" customFormat="1" ht="15"/>
    <row r="225" s="41" customFormat="1" ht="15"/>
    <row r="226" s="41" customFormat="1" ht="15"/>
    <row r="227" s="41" customFormat="1" ht="15"/>
    <row r="228" s="41" customFormat="1" ht="15"/>
    <row r="229" s="41" customFormat="1" ht="15"/>
    <row r="230" s="41" customFormat="1" ht="15"/>
    <row r="231" s="41" customFormat="1" ht="15"/>
    <row r="232" s="41" customFormat="1" ht="15"/>
    <row r="233" s="41" customFormat="1" ht="15"/>
    <row r="234" s="41" customFormat="1" ht="15"/>
  </sheetData>
  <mergeCells count="27">
    <mergeCell ref="A1:F1"/>
    <mergeCell ref="A2:F2"/>
    <mergeCell ref="A3:D3"/>
    <mergeCell ref="A4:B4"/>
    <mergeCell ref="C4:D4"/>
    <mergeCell ref="A5:B5"/>
    <mergeCell ref="C5:D5"/>
    <mergeCell ref="A6:B6"/>
    <mergeCell ref="C6:D6"/>
    <mergeCell ref="E6:F6"/>
    <mergeCell ref="A7:B7"/>
    <mergeCell ref="C7:D7"/>
    <mergeCell ref="E7:F7"/>
    <mergeCell ref="A8:B8"/>
    <mergeCell ref="C8:F8"/>
    <mergeCell ref="A9:B9"/>
    <mergeCell ref="C9:F9"/>
    <mergeCell ref="A10:B10"/>
    <mergeCell ref="C10:F10"/>
    <mergeCell ref="A11:F11"/>
    <mergeCell ref="A16:C16"/>
    <mergeCell ref="A17:F17"/>
    <mergeCell ref="E13:E15"/>
    <mergeCell ref="H13:H15"/>
    <mergeCell ref="I13:I15"/>
    <mergeCell ref="J13:J15"/>
    <mergeCell ref="K13:K15"/>
  </mergeCells>
  <pageMargins left="0.7" right="0.7" top="0.75" bottom="0.75" header="0.3" footer="0.3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K1187"/>
  <sheetViews>
    <sheetView zoomScale="50" zoomScaleNormal="50" topLeftCell="K1" workbookViewId="0">
      <selection activeCell="AJ1" sqref="AJ1"/>
    </sheetView>
  </sheetViews>
  <sheetFormatPr defaultColWidth="9" defaultRowHeight="14"/>
  <cols>
    <col min="1" max="1" width="5.27272727272727" customWidth="1"/>
    <col min="2" max="2" width="37.6363636363636" customWidth="1"/>
    <col min="3" max="3" width="25.4545454545455" customWidth="1"/>
    <col min="4" max="4" width="52" customWidth="1"/>
    <col min="5" max="5" width="19" customWidth="1"/>
    <col min="6" max="6" width="9" customWidth="1"/>
    <col min="7" max="7" width="10.8181818181818" style="1" customWidth="1"/>
    <col min="8" max="8" width="6.27272727272727" style="1" customWidth="1"/>
    <col min="9" max="9" width="20.1818181818182" style="1" customWidth="1"/>
    <col min="10" max="10" width="10.3636363636364" style="1" customWidth="1"/>
    <col min="11" max="11" width="19.6363636363636" style="1" customWidth="1"/>
    <col min="12" max="12" width="12.5454545454545" customWidth="1"/>
    <col min="13" max="13" width="24.0909090909091" style="2" customWidth="1"/>
    <col min="14" max="14" width="35.9090909090909" style="3" customWidth="1"/>
    <col min="15" max="15" width="5.27272727272727" style="1" customWidth="1"/>
    <col min="16" max="19" width="12.1818181818182" style="4" customWidth="1"/>
    <col min="20" max="23" width="12.1818181818182" style="5" customWidth="1"/>
    <col min="24" max="24" width="12.1818181818182" style="4" customWidth="1"/>
    <col min="25" max="27" width="8.81818181818182" customWidth="1"/>
    <col min="28" max="28" width="12.3636363636364" style="1" customWidth="1"/>
    <col min="29" max="16384" width="9" style="6"/>
  </cols>
  <sheetData>
    <row r="1" ht="46" customHeight="1" spans="1:37">
      <c r="A1" s="6" t="s">
        <v>51</v>
      </c>
      <c r="B1" s="6" t="s">
        <v>52</v>
      </c>
      <c r="C1" s="7" t="s">
        <v>53</v>
      </c>
      <c r="D1" s="8" t="s">
        <v>54</v>
      </c>
      <c r="E1" s="9" t="s">
        <v>55</v>
      </c>
      <c r="F1" s="9" t="s">
        <v>56</v>
      </c>
      <c r="G1" s="10" t="s">
        <v>57</v>
      </c>
      <c r="H1" s="11" t="s">
        <v>58</v>
      </c>
      <c r="I1" s="11" t="s">
        <v>59</v>
      </c>
      <c r="J1" s="11" t="s">
        <v>60</v>
      </c>
      <c r="K1" s="12" t="s">
        <v>61</v>
      </c>
      <c r="L1" s="12" t="s">
        <v>62</v>
      </c>
      <c r="M1" s="13" t="s">
        <v>63</v>
      </c>
      <c r="N1" s="14" t="s">
        <v>64</v>
      </c>
      <c r="O1" s="12" t="s">
        <v>65</v>
      </c>
      <c r="P1" s="15" t="s">
        <v>66</v>
      </c>
      <c r="Q1" s="16" t="s">
        <v>67</v>
      </c>
      <c r="R1" s="16" t="s">
        <v>68</v>
      </c>
      <c r="S1" s="17" t="s">
        <v>69</v>
      </c>
      <c r="T1" s="18" t="s">
        <v>70</v>
      </c>
      <c r="U1" s="18" t="s">
        <v>71</v>
      </c>
      <c r="V1" s="18" t="s">
        <v>72</v>
      </c>
      <c r="W1" s="19" t="s">
        <v>73</v>
      </c>
      <c r="X1" s="17" t="s">
        <v>74</v>
      </c>
      <c r="Y1" s="6" t="s">
        <v>75</v>
      </c>
      <c r="Z1" s="6" t="s">
        <v>76</v>
      </c>
      <c r="AA1" s="6" t="s">
        <v>77</v>
      </c>
      <c r="AB1" s="20" t="s">
        <v>78</v>
      </c>
      <c r="AC1" s="9" t="s">
        <v>79</v>
      </c>
      <c r="AD1" s="9" t="s">
        <v>21</v>
      </c>
      <c r="AE1" s="21" t="s">
        <v>32</v>
      </c>
      <c r="AF1" s="22" t="s">
        <v>33</v>
      </c>
      <c r="AG1" s="22" t="s">
        <v>35</v>
      </c>
      <c r="AH1" s="22" t="s">
        <v>36</v>
      </c>
      <c r="AI1" s="22" t="s">
        <v>38</v>
      </c>
      <c r="AJ1" s="22" t="s">
        <v>39</v>
      </c>
      <c r="AK1" s="22" t="s">
        <v>40</v>
      </c>
    </row>
    <row r="2" ht="16" customHeight="1" spans="1:37">
      <c r="B2" s="6" t="str">
        <f t="shared" ref="B2:B65" si="0">CONCATENATE(C2,"-",E2,"-",G2)</f>
        <v>43115-DT1EJ20250101-A-JIEU8015558-PARTS</v>
      </c>
      <c r="C2" t="s">
        <v>80</v>
      </c>
      <c r="D2" t="s">
        <v>81</v>
      </c>
      <c r="E2" t="s">
        <v>82</v>
      </c>
      <c r="F2" t="s">
        <v>83</v>
      </c>
      <c r="G2" s="1" t="s">
        <v>84</v>
      </c>
      <c r="I2" s="1" t="s">
        <v>85</v>
      </c>
      <c r="J2" s="1" t="s">
        <v>86</v>
      </c>
      <c r="K2" s="1" t="s">
        <v>87</v>
      </c>
      <c r="L2">
        <v>8708999709</v>
      </c>
      <c r="M2" s="2" t="s">
        <v>88</v>
      </c>
      <c r="N2" s="3" t="s">
        <v>89</v>
      </c>
      <c r="O2" s="1">
        <v>1</v>
      </c>
      <c r="P2" s="4">
        <v>831.11</v>
      </c>
      <c r="Q2" s="4">
        <v>66.62</v>
      </c>
      <c r="R2" s="4">
        <v>1.92</v>
      </c>
      <c r="S2" s="4">
        <v>899.65</v>
      </c>
      <c r="T2" s="5">
        <v>7.824</v>
      </c>
      <c r="U2" s="5">
        <v>7.824</v>
      </c>
      <c r="V2" s="5">
        <v>11.27</v>
      </c>
      <c r="W2" s="5">
        <v>11.27</v>
      </c>
      <c r="X2" s="4">
        <v>899.65</v>
      </c>
      <c r="Y2">
        <v>2280</v>
      </c>
      <c r="Z2">
        <v>1100</v>
      </c>
      <c r="AA2">
        <v>2420</v>
      </c>
      <c r="AB2" s="1">
        <v>6.07</v>
      </c>
      <c r="AE2" s="23">
        <v>1</v>
      </c>
      <c r="AF2" s="24">
        <v>179</v>
      </c>
      <c r="AG2" s="25">
        <v>293.72</v>
      </c>
      <c r="AH2" s="25" t="s">
        <v>43</v>
      </c>
      <c r="AI2" s="25">
        <v>9</v>
      </c>
      <c r="AJ2" s="26" t="s">
        <v>44</v>
      </c>
      <c r="AK2" s="26" t="s">
        <v>45</v>
      </c>
    </row>
    <row r="3" ht="14.5" customHeight="1" spans="1:37">
      <c r="B3" s="6" t="str">
        <f t="shared" si="0"/>
        <v>43115-DT1EJ20250101-A-JIEU8015558-PARTS</v>
      </c>
      <c r="C3" t="s">
        <v>80</v>
      </c>
      <c r="D3" t="s">
        <v>81</v>
      </c>
      <c r="E3" t="s">
        <v>82</v>
      </c>
      <c r="F3" t="s">
        <v>83</v>
      </c>
      <c r="G3" s="1" t="s">
        <v>84</v>
      </c>
      <c r="I3" s="1" t="s">
        <v>85</v>
      </c>
      <c r="J3" s="1" t="s">
        <v>86</v>
      </c>
      <c r="K3" s="1" t="s">
        <v>90</v>
      </c>
      <c r="L3">
        <v>8708299009</v>
      </c>
      <c r="M3" s="2" t="s">
        <v>91</v>
      </c>
      <c r="N3" s="3" t="s">
        <v>92</v>
      </c>
      <c r="O3" s="1">
        <v>1</v>
      </c>
      <c r="P3" s="4">
        <v>20</v>
      </c>
      <c r="Q3" s="4">
        <v>1.6</v>
      </c>
      <c r="R3" s="4">
        <v>0.05</v>
      </c>
      <c r="S3" s="4">
        <v>21.65</v>
      </c>
      <c r="T3" s="5">
        <v>0.633</v>
      </c>
      <c r="U3" s="5">
        <v>0.633</v>
      </c>
      <c r="V3" s="5">
        <v>0.91</v>
      </c>
      <c r="W3" s="5">
        <v>0.91</v>
      </c>
      <c r="X3" s="4">
        <v>21.65</v>
      </c>
      <c r="AE3" s="27"/>
      <c r="AF3" s="24">
        <v>38.47</v>
      </c>
      <c r="AG3" s="28"/>
      <c r="AH3" s="28"/>
      <c r="AI3" s="28"/>
      <c r="AJ3" s="26" t="s">
        <v>44</v>
      </c>
      <c r="AK3" s="26" t="s">
        <v>45</v>
      </c>
    </row>
    <row r="4" ht="14.5" customHeight="1" spans="1:37">
      <c r="B4" s="6" t="str">
        <f t="shared" si="0"/>
        <v>43115-DT1EJ20250101-A-JIEU8015558-PARTS</v>
      </c>
      <c r="C4" s="29" t="s">
        <v>80</v>
      </c>
      <c r="D4" s="30" t="s">
        <v>81</v>
      </c>
      <c r="E4" s="30" t="s">
        <v>82</v>
      </c>
      <c r="F4" s="30" t="s">
        <v>83</v>
      </c>
      <c r="G4" s="31" t="s">
        <v>84</v>
      </c>
      <c r="H4" s="31"/>
      <c r="I4" s="31" t="s">
        <v>85</v>
      </c>
      <c r="J4" s="31" t="s">
        <v>86</v>
      </c>
      <c r="K4" s="31" t="s">
        <v>93</v>
      </c>
      <c r="L4" s="31">
        <v>8708299009</v>
      </c>
      <c r="M4" s="32" t="s">
        <v>94</v>
      </c>
      <c r="N4" s="33" t="s">
        <v>95</v>
      </c>
      <c r="O4" s="31">
        <v>1</v>
      </c>
      <c r="P4" s="34">
        <v>19.64</v>
      </c>
      <c r="Q4" s="34">
        <v>1.57</v>
      </c>
      <c r="R4" s="34">
        <v>0.05</v>
      </c>
      <c r="S4" s="34">
        <v>21.26</v>
      </c>
      <c r="T4" s="35">
        <v>0.622</v>
      </c>
      <c r="U4" s="35">
        <v>0.622</v>
      </c>
      <c r="V4" s="35">
        <v>0.9</v>
      </c>
      <c r="W4" s="35">
        <v>0.9</v>
      </c>
      <c r="X4" s="34">
        <v>21.26</v>
      </c>
      <c r="Y4" s="31"/>
      <c r="Z4" s="31"/>
      <c r="AA4" s="31"/>
      <c r="AB4" s="31"/>
      <c r="AE4" s="36"/>
      <c r="AF4" s="24">
        <v>16.24</v>
      </c>
      <c r="AG4" s="37"/>
      <c r="AH4" s="37"/>
      <c r="AI4" s="37"/>
      <c r="AJ4" s="26" t="s">
        <v>44</v>
      </c>
      <c r="AK4" s="26" t="s">
        <v>45</v>
      </c>
    </row>
    <row r="5" ht="14.5" customHeight="1" spans="1:37">
      <c r="B5" s="6" t="str">
        <f t="shared" si="0"/>
        <v>43115-DT1EJ20250101-A-JIEU8015558-PARTS</v>
      </c>
      <c r="C5" s="29" t="s">
        <v>80</v>
      </c>
      <c r="D5" s="30" t="s">
        <v>81</v>
      </c>
      <c r="E5" s="30" t="s">
        <v>82</v>
      </c>
      <c r="F5" s="30" t="s">
        <v>83</v>
      </c>
      <c r="G5" s="31" t="s">
        <v>84</v>
      </c>
      <c r="H5" s="31"/>
      <c r="I5" s="31" t="s">
        <v>85</v>
      </c>
      <c r="J5" s="31" t="s">
        <v>86</v>
      </c>
      <c r="K5" s="31" t="s">
        <v>87</v>
      </c>
      <c r="L5" s="31">
        <v>8708999709</v>
      </c>
      <c r="M5" s="32" t="s">
        <v>88</v>
      </c>
      <c r="N5" s="33" t="s">
        <v>89</v>
      </c>
      <c r="O5" s="31">
        <v>1</v>
      </c>
      <c r="P5" s="34">
        <v>831.11</v>
      </c>
      <c r="Q5" s="34">
        <v>66.62</v>
      </c>
      <c r="R5" s="34">
        <v>1.92</v>
      </c>
      <c r="S5" s="34">
        <v>899.65</v>
      </c>
      <c r="T5" s="35">
        <v>7.824</v>
      </c>
      <c r="U5" s="35">
        <v>7.824</v>
      </c>
      <c r="V5" s="35">
        <v>11.27</v>
      </c>
      <c r="W5" s="35">
        <v>11.27</v>
      </c>
      <c r="X5" s="34">
        <v>899.65</v>
      </c>
      <c r="Y5" s="31"/>
      <c r="Z5" s="31"/>
      <c r="AA5" s="31"/>
      <c r="AB5" s="31"/>
    </row>
    <row r="6" ht="14.5" customHeight="1" spans="1:37">
      <c r="B6" s="6" t="str">
        <f t="shared" si="0"/>
        <v>43115-DT1EJ20250101-A-JIEU8015558-PARTS</v>
      </c>
      <c r="C6" s="29" t="s">
        <v>80</v>
      </c>
      <c r="D6" s="30" t="s">
        <v>81</v>
      </c>
      <c r="E6" s="30" t="s">
        <v>82</v>
      </c>
      <c r="F6" s="30" t="s">
        <v>83</v>
      </c>
      <c r="G6" s="31" t="s">
        <v>84</v>
      </c>
      <c r="H6" s="31"/>
      <c r="I6" s="31" t="s">
        <v>85</v>
      </c>
      <c r="J6" s="31" t="s">
        <v>86</v>
      </c>
      <c r="K6" s="31" t="s">
        <v>90</v>
      </c>
      <c r="L6" s="31">
        <v>8708299009</v>
      </c>
      <c r="M6" s="32" t="s">
        <v>91</v>
      </c>
      <c r="N6" s="33" t="s">
        <v>92</v>
      </c>
      <c r="O6" s="31">
        <v>1</v>
      </c>
      <c r="P6" s="34">
        <v>20</v>
      </c>
      <c r="Q6" s="34">
        <v>1.6</v>
      </c>
      <c r="R6" s="34">
        <v>0.05</v>
      </c>
      <c r="S6" s="34">
        <v>21.65</v>
      </c>
      <c r="T6" s="35">
        <v>0.633</v>
      </c>
      <c r="U6" s="35">
        <v>0.633</v>
      </c>
      <c r="V6" s="35">
        <v>0.91</v>
      </c>
      <c r="W6" s="35">
        <v>0.91</v>
      </c>
      <c r="X6" s="34">
        <v>21.65</v>
      </c>
      <c r="Y6" s="31"/>
      <c r="Z6" s="31"/>
      <c r="AA6" s="31"/>
      <c r="AB6" s="31"/>
    </row>
    <row r="7" ht="14.5" customHeight="1" spans="1:37">
      <c r="B7" s="6" t="str">
        <f t="shared" si="0"/>
        <v>43115-DT1EJ20250101-A-JIEU8015558-PARTS</v>
      </c>
      <c r="C7" s="29" t="s">
        <v>80</v>
      </c>
      <c r="D7" s="30" t="s">
        <v>81</v>
      </c>
      <c r="E7" s="30" t="s">
        <v>82</v>
      </c>
      <c r="F7" s="30" t="s">
        <v>83</v>
      </c>
      <c r="G7" s="31" t="s">
        <v>84</v>
      </c>
      <c r="H7" s="31"/>
      <c r="I7" s="31" t="s">
        <v>85</v>
      </c>
      <c r="J7" s="31" t="s">
        <v>86</v>
      </c>
      <c r="K7" s="31" t="s">
        <v>93</v>
      </c>
      <c r="L7" s="31">
        <v>8708299009</v>
      </c>
      <c r="M7" s="32" t="s">
        <v>94</v>
      </c>
      <c r="N7" s="33" t="s">
        <v>95</v>
      </c>
      <c r="O7" s="31">
        <v>1</v>
      </c>
      <c r="P7" s="34">
        <v>19.64</v>
      </c>
      <c r="Q7" s="34">
        <v>1.57</v>
      </c>
      <c r="R7" s="34">
        <v>0.05</v>
      </c>
      <c r="S7" s="34">
        <v>21.26</v>
      </c>
      <c r="T7" s="35">
        <v>0.622</v>
      </c>
      <c r="U7" s="35">
        <v>0.622</v>
      </c>
      <c r="V7" s="35">
        <v>0.9</v>
      </c>
      <c r="W7" s="35">
        <v>0.9</v>
      </c>
      <c r="X7" s="34">
        <v>21.26</v>
      </c>
      <c r="Y7" s="31"/>
      <c r="Z7" s="31"/>
      <c r="AA7" s="31"/>
      <c r="AB7" s="31"/>
    </row>
    <row r="8" ht="14.5" customHeight="1" spans="1:37">
      <c r="B8" s="6" t="str">
        <f t="shared" si="0"/>
        <v>43115-DT1EJ20250101-A-JIEU8015558-PARTS</v>
      </c>
      <c r="C8" t="s">
        <v>80</v>
      </c>
      <c r="D8" t="s">
        <v>81</v>
      </c>
      <c r="E8" t="s">
        <v>82</v>
      </c>
      <c r="F8" t="s">
        <v>83</v>
      </c>
      <c r="G8" s="1" t="s">
        <v>84</v>
      </c>
      <c r="I8" s="1" t="s">
        <v>85</v>
      </c>
      <c r="J8" s="1" t="s">
        <v>86</v>
      </c>
      <c r="K8" s="1" t="s">
        <v>87</v>
      </c>
      <c r="L8">
        <v>8708999709</v>
      </c>
      <c r="M8" s="2" t="s">
        <v>88</v>
      </c>
      <c r="N8" s="3" t="s">
        <v>89</v>
      </c>
      <c r="O8" s="1">
        <v>1</v>
      </c>
      <c r="P8" s="4">
        <v>831.11</v>
      </c>
      <c r="Q8" s="4">
        <v>66.62</v>
      </c>
      <c r="R8" s="4">
        <v>1.92</v>
      </c>
      <c r="S8" s="4">
        <v>899.65</v>
      </c>
      <c r="T8" s="5">
        <v>7.824</v>
      </c>
      <c r="U8" s="5">
        <v>7.824</v>
      </c>
      <c r="V8" s="5">
        <v>11.27</v>
      </c>
      <c r="W8" s="5">
        <v>11.27</v>
      </c>
      <c r="X8" s="4">
        <v>899.65</v>
      </c>
    </row>
    <row r="9" ht="14.5" customHeight="1" spans="1:37">
      <c r="B9" s="6" t="str">
        <f t="shared" si="0"/>
        <v>43115-DT1EJ20250101-A-JIEU8015558-PARTS</v>
      </c>
      <c r="C9" t="s">
        <v>80</v>
      </c>
      <c r="D9" t="s">
        <v>81</v>
      </c>
      <c r="E9" t="s">
        <v>82</v>
      </c>
      <c r="F9" t="s">
        <v>83</v>
      </c>
      <c r="G9" s="1" t="s">
        <v>84</v>
      </c>
      <c r="I9" s="1" t="s">
        <v>85</v>
      </c>
      <c r="J9" s="1" t="s">
        <v>86</v>
      </c>
      <c r="K9" s="1" t="s">
        <v>90</v>
      </c>
      <c r="L9">
        <v>8708299009</v>
      </c>
      <c r="M9" s="2" t="s">
        <v>91</v>
      </c>
      <c r="N9" s="3" t="s">
        <v>92</v>
      </c>
      <c r="O9" s="1">
        <v>1</v>
      </c>
      <c r="P9" s="4">
        <v>20</v>
      </c>
      <c r="Q9" s="4">
        <v>1.6</v>
      </c>
      <c r="R9" s="4">
        <v>0.05</v>
      </c>
      <c r="S9" s="4">
        <v>21.65</v>
      </c>
      <c r="T9" s="5">
        <v>0.633</v>
      </c>
      <c r="U9" s="5">
        <v>0.633</v>
      </c>
      <c r="V9" s="5">
        <v>0.91</v>
      </c>
      <c r="W9" s="5">
        <v>0.91</v>
      </c>
      <c r="X9" s="4">
        <v>21.65</v>
      </c>
    </row>
    <row r="10" ht="14.5" customHeight="1" spans="1:37">
      <c r="B10" s="6" t="str">
        <f t="shared" si="0"/>
        <v>43115-DT1EJ20250101-A-JIEU8015558-PARTS</v>
      </c>
      <c r="C10" t="s">
        <v>80</v>
      </c>
      <c r="D10" t="s">
        <v>81</v>
      </c>
      <c r="E10" t="s">
        <v>82</v>
      </c>
      <c r="F10" t="s">
        <v>83</v>
      </c>
      <c r="G10" s="1" t="s">
        <v>84</v>
      </c>
      <c r="I10" s="1" t="s">
        <v>85</v>
      </c>
      <c r="J10" s="1" t="s">
        <v>86</v>
      </c>
      <c r="K10" s="1" t="s">
        <v>93</v>
      </c>
      <c r="L10">
        <v>8708299009</v>
      </c>
      <c r="M10" s="2" t="s">
        <v>94</v>
      </c>
      <c r="N10" s="3" t="s">
        <v>95</v>
      </c>
      <c r="O10" s="1">
        <v>1</v>
      </c>
      <c r="P10" s="4">
        <v>19.64</v>
      </c>
      <c r="Q10" s="4">
        <v>1.57</v>
      </c>
      <c r="R10" s="4">
        <v>0.05</v>
      </c>
      <c r="S10" s="4">
        <v>21.26</v>
      </c>
      <c r="T10" s="5">
        <v>0.622</v>
      </c>
      <c r="U10" s="5">
        <v>0.622</v>
      </c>
      <c r="V10" s="5">
        <v>0.9</v>
      </c>
      <c r="W10" s="5">
        <v>0.9</v>
      </c>
      <c r="X10" s="4">
        <v>21.26</v>
      </c>
    </row>
    <row r="11" ht="14.5" customHeight="1" spans="1:37">
      <c r="B11" s="6" t="str">
        <f t="shared" si="0"/>
        <v>43115-DT1EJ20250101-A-JIEU8015558-PARTS</v>
      </c>
      <c r="C11" t="s">
        <v>80</v>
      </c>
      <c r="D11" t="s">
        <v>81</v>
      </c>
      <c r="E11" t="s">
        <v>82</v>
      </c>
      <c r="F11" t="s">
        <v>83</v>
      </c>
      <c r="G11" s="1" t="s">
        <v>84</v>
      </c>
      <c r="I11" s="1" t="s">
        <v>85</v>
      </c>
      <c r="J11" s="1" t="s">
        <v>86</v>
      </c>
      <c r="K11" s="1" t="s">
        <v>87</v>
      </c>
      <c r="L11">
        <v>8708999709</v>
      </c>
      <c r="M11" s="2" t="s">
        <v>88</v>
      </c>
      <c r="N11" s="3" t="s">
        <v>89</v>
      </c>
      <c r="O11" s="1">
        <v>1</v>
      </c>
      <c r="P11" s="4">
        <v>831.11</v>
      </c>
      <c r="Q11" s="4">
        <v>66.62</v>
      </c>
      <c r="R11" s="4">
        <v>1.92</v>
      </c>
      <c r="S11" s="4">
        <v>899.65</v>
      </c>
      <c r="T11" s="5">
        <v>7.824</v>
      </c>
      <c r="U11" s="5">
        <v>7.824</v>
      </c>
      <c r="V11" s="5">
        <v>11.27</v>
      </c>
      <c r="W11" s="5">
        <v>11.27</v>
      </c>
      <c r="X11" s="4">
        <v>899.65</v>
      </c>
    </row>
    <row r="12" ht="14.5" customHeight="1" spans="1:37">
      <c r="B12" s="6" t="str">
        <f t="shared" si="0"/>
        <v>43115-DT1EJ20250101-A-JIEU8015558-PARTS</v>
      </c>
      <c r="C12" t="s">
        <v>80</v>
      </c>
      <c r="D12" t="s">
        <v>81</v>
      </c>
      <c r="E12" t="s">
        <v>82</v>
      </c>
      <c r="F12" t="s">
        <v>83</v>
      </c>
      <c r="G12" s="1" t="s">
        <v>84</v>
      </c>
      <c r="I12" s="1" t="s">
        <v>85</v>
      </c>
      <c r="J12" s="1" t="s">
        <v>86</v>
      </c>
      <c r="K12" s="1" t="s">
        <v>90</v>
      </c>
      <c r="L12">
        <v>8708299009</v>
      </c>
      <c r="M12" s="2" t="s">
        <v>91</v>
      </c>
      <c r="N12" s="3" t="s">
        <v>92</v>
      </c>
      <c r="O12" s="1">
        <v>1</v>
      </c>
      <c r="P12" s="4">
        <v>20</v>
      </c>
      <c r="Q12" s="4">
        <v>1.6</v>
      </c>
      <c r="R12" s="4">
        <v>0.05</v>
      </c>
      <c r="S12" s="4">
        <v>21.65</v>
      </c>
      <c r="T12" s="5">
        <v>0.633</v>
      </c>
      <c r="U12" s="5">
        <v>0.633</v>
      </c>
      <c r="V12" s="5">
        <v>0.91</v>
      </c>
      <c r="W12" s="5">
        <v>0.91</v>
      </c>
      <c r="X12" s="4">
        <v>21.65</v>
      </c>
    </row>
    <row r="13" ht="14.5" customHeight="1" spans="1:37">
      <c r="B13" s="6" t="str">
        <f t="shared" si="0"/>
        <v>43115-DT1EJ20250101-A-JIEU8015558-PARTS</v>
      </c>
      <c r="C13" t="s">
        <v>80</v>
      </c>
      <c r="D13" t="s">
        <v>81</v>
      </c>
      <c r="E13" t="s">
        <v>82</v>
      </c>
      <c r="F13" t="s">
        <v>83</v>
      </c>
      <c r="G13" s="1" t="s">
        <v>84</v>
      </c>
      <c r="I13" s="1" t="s">
        <v>85</v>
      </c>
      <c r="J13" s="1" t="s">
        <v>86</v>
      </c>
      <c r="K13" s="1" t="s">
        <v>93</v>
      </c>
      <c r="L13">
        <v>8708299009</v>
      </c>
      <c r="M13" s="2" t="s">
        <v>94</v>
      </c>
      <c r="N13" s="3" t="s">
        <v>95</v>
      </c>
      <c r="O13" s="1">
        <v>1</v>
      </c>
      <c r="P13" s="4">
        <v>19.64</v>
      </c>
      <c r="Q13" s="4">
        <v>1.57</v>
      </c>
      <c r="R13" s="4">
        <v>0.05</v>
      </c>
      <c r="S13" s="4">
        <v>21.26</v>
      </c>
      <c r="T13" s="5">
        <v>0.622</v>
      </c>
      <c r="U13" s="5">
        <v>0.622</v>
      </c>
      <c r="V13" s="5">
        <v>0.9</v>
      </c>
      <c r="W13" s="5">
        <v>0.9</v>
      </c>
      <c r="X13" s="4">
        <v>21.26</v>
      </c>
    </row>
    <row r="14" ht="14.5" customHeight="1" spans="1:37">
      <c r="B14" s="6" t="str">
        <f t="shared" si="0"/>
        <v>43115-DT1EJ20250101-A-JIEU8015558-PARTS</v>
      </c>
      <c r="C14" t="s">
        <v>80</v>
      </c>
      <c r="D14" t="s">
        <v>81</v>
      </c>
      <c r="E14" t="s">
        <v>82</v>
      </c>
      <c r="F14" t="s">
        <v>83</v>
      </c>
      <c r="G14" s="1" t="s">
        <v>84</v>
      </c>
      <c r="I14" s="1" t="s">
        <v>85</v>
      </c>
      <c r="J14" s="1" t="s">
        <v>86</v>
      </c>
      <c r="K14" s="1" t="s">
        <v>87</v>
      </c>
      <c r="L14">
        <v>8708999709</v>
      </c>
      <c r="M14" s="2" t="s">
        <v>88</v>
      </c>
      <c r="N14" s="3" t="s">
        <v>89</v>
      </c>
      <c r="O14" s="1">
        <v>1</v>
      </c>
      <c r="P14" s="4">
        <v>831.11</v>
      </c>
      <c r="Q14" s="4">
        <v>66.62</v>
      </c>
      <c r="R14" s="4">
        <v>1.92</v>
      </c>
      <c r="S14" s="4">
        <v>899.65</v>
      </c>
      <c r="T14" s="5">
        <v>7.824</v>
      </c>
      <c r="U14" s="5">
        <v>7.824</v>
      </c>
      <c r="V14" s="5">
        <v>11.27</v>
      </c>
      <c r="W14" s="5">
        <v>11.27</v>
      </c>
      <c r="X14" s="4">
        <v>899.65</v>
      </c>
    </row>
    <row r="15" ht="14.5" customHeight="1" spans="1:37">
      <c r="B15" s="6" t="str">
        <f t="shared" si="0"/>
        <v>43115-DT1EJ20250101-A-JIEU8015558-PARTS</v>
      </c>
      <c r="C15" t="s">
        <v>80</v>
      </c>
      <c r="D15" t="s">
        <v>81</v>
      </c>
      <c r="E15" t="s">
        <v>82</v>
      </c>
      <c r="F15" t="s">
        <v>83</v>
      </c>
      <c r="G15" s="1" t="s">
        <v>84</v>
      </c>
      <c r="I15" s="1" t="s">
        <v>85</v>
      </c>
      <c r="J15" s="1" t="s">
        <v>86</v>
      </c>
      <c r="K15" s="1" t="s">
        <v>90</v>
      </c>
      <c r="L15">
        <v>8708299009</v>
      </c>
      <c r="M15" s="2" t="s">
        <v>91</v>
      </c>
      <c r="N15" s="3" t="s">
        <v>92</v>
      </c>
      <c r="O15" s="1">
        <v>1</v>
      </c>
      <c r="P15" s="4">
        <v>20</v>
      </c>
      <c r="Q15" s="4">
        <v>1.6</v>
      </c>
      <c r="R15" s="4">
        <v>0.05</v>
      </c>
      <c r="S15" s="4">
        <v>21.65</v>
      </c>
      <c r="T15" s="5">
        <v>0.633</v>
      </c>
      <c r="U15" s="5">
        <v>0.633</v>
      </c>
      <c r="V15" s="5">
        <v>0.91</v>
      </c>
      <c r="W15" s="5">
        <v>0.91</v>
      </c>
      <c r="X15" s="4">
        <v>21.65</v>
      </c>
    </row>
    <row r="16" ht="14.5" customHeight="1" spans="1:37">
      <c r="B16" s="6" t="str">
        <f t="shared" si="0"/>
        <v>43115-DT1EJ20250101-A-JIEU8015558-PARTS</v>
      </c>
      <c r="C16" t="s">
        <v>80</v>
      </c>
      <c r="D16" t="s">
        <v>81</v>
      </c>
      <c r="E16" t="s">
        <v>82</v>
      </c>
      <c r="F16" t="s">
        <v>83</v>
      </c>
      <c r="G16" s="1" t="s">
        <v>84</v>
      </c>
      <c r="I16" s="1" t="s">
        <v>85</v>
      </c>
      <c r="J16" s="1" t="s">
        <v>86</v>
      </c>
      <c r="K16" s="1" t="s">
        <v>93</v>
      </c>
      <c r="L16">
        <v>8708299009</v>
      </c>
      <c r="M16" s="2" t="s">
        <v>94</v>
      </c>
      <c r="N16" s="3" t="s">
        <v>95</v>
      </c>
      <c r="O16" s="1">
        <v>1</v>
      </c>
      <c r="P16" s="4">
        <v>19.64</v>
      </c>
      <c r="Q16" s="4">
        <v>1.57</v>
      </c>
      <c r="R16" s="4">
        <v>0.05</v>
      </c>
      <c r="S16" s="4">
        <v>21.26</v>
      </c>
      <c r="T16" s="5">
        <v>0.622</v>
      </c>
      <c r="U16" s="5">
        <v>0.622</v>
      </c>
      <c r="V16" s="5">
        <v>0.9</v>
      </c>
      <c r="W16" s="5">
        <v>0.9</v>
      </c>
      <c r="X16" s="4">
        <v>21.26</v>
      </c>
    </row>
    <row r="17" ht="14.5" customHeight="1" spans="2:24">
      <c r="B17" s="6" t="str">
        <f t="shared" si="0"/>
        <v>43115-DT1EJ20250101-A-JIEU8015558-PARTS</v>
      </c>
      <c r="C17" t="s">
        <v>80</v>
      </c>
      <c r="D17" t="s">
        <v>81</v>
      </c>
      <c r="E17" t="s">
        <v>82</v>
      </c>
      <c r="F17" t="s">
        <v>83</v>
      </c>
      <c r="G17" s="1" t="s">
        <v>84</v>
      </c>
      <c r="I17" s="1" t="s">
        <v>85</v>
      </c>
      <c r="J17" s="1" t="s">
        <v>86</v>
      </c>
      <c r="K17" s="1" t="s">
        <v>87</v>
      </c>
      <c r="L17">
        <v>8708999709</v>
      </c>
      <c r="M17" s="2" t="s">
        <v>88</v>
      </c>
      <c r="N17" s="3" t="s">
        <v>89</v>
      </c>
      <c r="O17" s="1">
        <v>1</v>
      </c>
      <c r="P17" s="4">
        <v>831.11</v>
      </c>
      <c r="Q17" s="4">
        <v>66.62</v>
      </c>
      <c r="R17" s="4">
        <v>1.92</v>
      </c>
      <c r="S17" s="4">
        <v>899.65</v>
      </c>
      <c r="T17" s="5">
        <v>7.824</v>
      </c>
      <c r="U17" s="5">
        <v>7.824</v>
      </c>
      <c r="V17" s="5">
        <v>11.27</v>
      </c>
      <c r="W17" s="5">
        <v>11.27</v>
      </c>
      <c r="X17" s="4">
        <v>899.65</v>
      </c>
    </row>
    <row r="18" ht="14.5" customHeight="1" spans="2:24">
      <c r="B18" s="6" t="str">
        <f t="shared" si="0"/>
        <v>43115-DT1EJ20250101-A-JIEU8015558-PARTS</v>
      </c>
      <c r="C18" t="s">
        <v>80</v>
      </c>
      <c r="D18" t="s">
        <v>81</v>
      </c>
      <c r="E18" t="s">
        <v>82</v>
      </c>
      <c r="F18" t="s">
        <v>83</v>
      </c>
      <c r="G18" s="1" t="s">
        <v>84</v>
      </c>
      <c r="I18" s="1" t="s">
        <v>85</v>
      </c>
      <c r="J18" s="1" t="s">
        <v>86</v>
      </c>
      <c r="K18" s="1" t="s">
        <v>90</v>
      </c>
      <c r="L18">
        <v>8708299009</v>
      </c>
      <c r="M18" s="2" t="s">
        <v>91</v>
      </c>
      <c r="N18" s="3" t="s">
        <v>92</v>
      </c>
      <c r="O18" s="1">
        <v>1</v>
      </c>
      <c r="P18" s="4">
        <v>20</v>
      </c>
      <c r="Q18" s="4">
        <v>1.6</v>
      </c>
      <c r="R18" s="4">
        <v>0.05</v>
      </c>
      <c r="S18" s="4">
        <v>21.65</v>
      </c>
      <c r="T18" s="5">
        <v>0.633</v>
      </c>
      <c r="U18" s="5">
        <v>0.633</v>
      </c>
      <c r="V18" s="5">
        <v>0.91</v>
      </c>
      <c r="W18" s="5">
        <v>0.91</v>
      </c>
      <c r="X18" s="4">
        <v>21.65</v>
      </c>
    </row>
    <row r="19" ht="14.5" customHeight="1" spans="2:24">
      <c r="B19" s="6" t="str">
        <f t="shared" si="0"/>
        <v>43115-DT1EJ20250101-A-JIEU8015558-PARTS</v>
      </c>
      <c r="C19" t="s">
        <v>80</v>
      </c>
      <c r="D19" t="s">
        <v>81</v>
      </c>
      <c r="E19" t="s">
        <v>82</v>
      </c>
      <c r="F19" t="s">
        <v>83</v>
      </c>
      <c r="G19" s="1" t="s">
        <v>84</v>
      </c>
      <c r="I19" s="1" t="s">
        <v>85</v>
      </c>
      <c r="J19" s="1" t="s">
        <v>86</v>
      </c>
      <c r="K19" s="1" t="s">
        <v>93</v>
      </c>
      <c r="L19">
        <v>8708299009</v>
      </c>
      <c r="M19" s="2" t="s">
        <v>94</v>
      </c>
      <c r="N19" s="3" t="s">
        <v>95</v>
      </c>
      <c r="O19" s="1">
        <v>1</v>
      </c>
      <c r="P19" s="4">
        <v>19.64</v>
      </c>
      <c r="Q19" s="4">
        <v>1.57</v>
      </c>
      <c r="R19" s="4">
        <v>0.05</v>
      </c>
      <c r="S19" s="4">
        <v>21.26</v>
      </c>
      <c r="T19" s="5">
        <v>0.622</v>
      </c>
      <c r="U19" s="5">
        <v>0.622</v>
      </c>
      <c r="V19" s="5">
        <v>0.9</v>
      </c>
      <c r="W19" s="5">
        <v>0.9</v>
      </c>
      <c r="X19" s="4">
        <v>21.26</v>
      </c>
    </row>
    <row r="20" ht="14.5" customHeight="1" spans="2:24">
      <c r="B20" s="6" t="str">
        <f t="shared" si="0"/>
        <v>43115-DT1EJ20250101-A-JIEU8015558-PARTS</v>
      </c>
      <c r="C20" t="s">
        <v>80</v>
      </c>
      <c r="D20" t="s">
        <v>81</v>
      </c>
      <c r="E20" t="s">
        <v>82</v>
      </c>
      <c r="F20" t="s">
        <v>83</v>
      </c>
      <c r="G20" s="1" t="s">
        <v>84</v>
      </c>
      <c r="I20" s="1" t="s">
        <v>85</v>
      </c>
      <c r="J20" s="1" t="s">
        <v>86</v>
      </c>
      <c r="K20" s="1" t="s">
        <v>87</v>
      </c>
      <c r="L20">
        <v>8708999709</v>
      </c>
      <c r="M20" s="2" t="s">
        <v>88</v>
      </c>
      <c r="N20" s="3" t="s">
        <v>89</v>
      </c>
      <c r="O20" s="1">
        <v>1</v>
      </c>
      <c r="P20" s="4">
        <v>831.11</v>
      </c>
      <c r="Q20" s="4">
        <v>66.62</v>
      </c>
      <c r="R20" s="4">
        <v>1.92</v>
      </c>
      <c r="S20" s="4">
        <v>899.65</v>
      </c>
      <c r="T20" s="5">
        <v>7.824</v>
      </c>
      <c r="U20" s="5">
        <v>7.824</v>
      </c>
      <c r="V20" s="5">
        <v>11.27</v>
      </c>
      <c r="W20" s="5">
        <v>11.27</v>
      </c>
      <c r="X20" s="4">
        <v>899.65</v>
      </c>
    </row>
    <row r="21" ht="14.5" customHeight="1" spans="2:24">
      <c r="B21" s="6" t="str">
        <f t="shared" si="0"/>
        <v>43115-DT1EJ20250101-A-JIEU8015558-PARTS</v>
      </c>
      <c r="C21" t="s">
        <v>80</v>
      </c>
      <c r="D21" t="s">
        <v>81</v>
      </c>
      <c r="E21" t="s">
        <v>82</v>
      </c>
      <c r="F21" t="s">
        <v>83</v>
      </c>
      <c r="G21" s="1" t="s">
        <v>84</v>
      </c>
      <c r="I21" s="1" t="s">
        <v>85</v>
      </c>
      <c r="J21" s="1" t="s">
        <v>86</v>
      </c>
      <c r="K21" s="1" t="s">
        <v>90</v>
      </c>
      <c r="L21">
        <v>8708299009</v>
      </c>
      <c r="M21" s="2" t="s">
        <v>91</v>
      </c>
      <c r="N21" s="3" t="s">
        <v>92</v>
      </c>
      <c r="O21" s="1">
        <v>1</v>
      </c>
      <c r="P21" s="4">
        <v>20</v>
      </c>
      <c r="Q21" s="4">
        <v>1.6</v>
      </c>
      <c r="R21" s="4">
        <v>0.05</v>
      </c>
      <c r="S21" s="4">
        <v>21.65</v>
      </c>
      <c r="T21" s="5">
        <v>0.633</v>
      </c>
      <c r="U21" s="5">
        <v>0.633</v>
      </c>
      <c r="V21" s="5">
        <v>0.91</v>
      </c>
      <c r="W21" s="5">
        <v>0.91</v>
      </c>
      <c r="X21" s="4">
        <v>21.65</v>
      </c>
    </row>
    <row r="22" ht="14.5" customHeight="1" spans="2:24">
      <c r="B22" s="6" t="str">
        <f t="shared" si="0"/>
        <v>43115-DT1EJ20250101-A-JIEU8015558-PARTS</v>
      </c>
      <c r="C22" t="s">
        <v>80</v>
      </c>
      <c r="D22" t="s">
        <v>81</v>
      </c>
      <c r="E22" t="s">
        <v>82</v>
      </c>
      <c r="F22" t="s">
        <v>83</v>
      </c>
      <c r="G22" s="1" t="s">
        <v>84</v>
      </c>
      <c r="I22" s="1" t="s">
        <v>85</v>
      </c>
      <c r="J22" s="1" t="s">
        <v>86</v>
      </c>
      <c r="K22" s="1" t="s">
        <v>93</v>
      </c>
      <c r="L22">
        <v>8708299009</v>
      </c>
      <c r="M22" s="2" t="s">
        <v>94</v>
      </c>
      <c r="N22" s="3" t="s">
        <v>95</v>
      </c>
      <c r="O22" s="1">
        <v>1</v>
      </c>
      <c r="P22" s="4">
        <v>19.64</v>
      </c>
      <c r="Q22" s="4">
        <v>1.57</v>
      </c>
      <c r="R22" s="4">
        <v>0.05</v>
      </c>
      <c r="S22" s="4">
        <v>21.26</v>
      </c>
      <c r="T22" s="5">
        <v>0.622</v>
      </c>
      <c r="U22" s="5">
        <v>0.622</v>
      </c>
      <c r="V22" s="5">
        <v>0.9</v>
      </c>
      <c r="W22" s="5">
        <v>0.9</v>
      </c>
      <c r="X22" s="4">
        <v>21.26</v>
      </c>
    </row>
    <row r="23" ht="14.5" customHeight="1" spans="2:24">
      <c r="B23" s="6" t="str">
        <f t="shared" si="0"/>
        <v>43115-DT1EJ20250101-A-JIEU8015558-PARTS</v>
      </c>
      <c r="C23" t="s">
        <v>80</v>
      </c>
      <c r="D23" t="s">
        <v>81</v>
      </c>
      <c r="E23" t="s">
        <v>82</v>
      </c>
      <c r="F23" t="s">
        <v>83</v>
      </c>
      <c r="G23" s="1" t="s">
        <v>84</v>
      </c>
      <c r="I23" s="1" t="s">
        <v>85</v>
      </c>
      <c r="J23" s="1" t="s">
        <v>86</v>
      </c>
      <c r="K23" s="1" t="s">
        <v>87</v>
      </c>
      <c r="L23">
        <v>8708999709</v>
      </c>
      <c r="M23" s="2" t="s">
        <v>88</v>
      </c>
      <c r="N23" s="3" t="s">
        <v>89</v>
      </c>
      <c r="O23" s="1">
        <v>1</v>
      </c>
      <c r="P23" s="4">
        <v>831.11</v>
      </c>
      <c r="Q23" s="4">
        <v>66.62</v>
      </c>
      <c r="R23" s="4">
        <v>1.92</v>
      </c>
      <c r="S23" s="4">
        <v>899.65</v>
      </c>
      <c r="T23" s="5">
        <v>7.824</v>
      </c>
      <c r="U23" s="5">
        <v>7.824</v>
      </c>
      <c r="V23" s="5">
        <v>11.27</v>
      </c>
      <c r="W23" s="5">
        <v>11.27</v>
      </c>
      <c r="X23" s="4">
        <v>899.65</v>
      </c>
    </row>
    <row r="24" ht="14.5" customHeight="1" spans="2:24">
      <c r="B24" s="6" t="str">
        <f t="shared" si="0"/>
        <v>43115-DT1EJ20250101-A-JIEU8015558-PARTS</v>
      </c>
      <c r="C24" t="s">
        <v>80</v>
      </c>
      <c r="D24" t="s">
        <v>81</v>
      </c>
      <c r="E24" t="s">
        <v>82</v>
      </c>
      <c r="F24" t="s">
        <v>83</v>
      </c>
      <c r="G24" s="1" t="s">
        <v>84</v>
      </c>
      <c r="I24" s="1" t="s">
        <v>85</v>
      </c>
      <c r="J24" s="1" t="s">
        <v>86</v>
      </c>
      <c r="K24" s="1" t="s">
        <v>90</v>
      </c>
      <c r="L24">
        <v>8708299009</v>
      </c>
      <c r="M24" s="2" t="s">
        <v>91</v>
      </c>
      <c r="N24" s="3" t="s">
        <v>92</v>
      </c>
      <c r="O24" s="1">
        <v>1</v>
      </c>
      <c r="P24" s="4">
        <v>20</v>
      </c>
      <c r="Q24" s="4">
        <v>1.6</v>
      </c>
      <c r="R24" s="4">
        <v>0.05</v>
      </c>
      <c r="S24" s="4">
        <v>21.65</v>
      </c>
      <c r="T24" s="5">
        <v>0.633</v>
      </c>
      <c r="U24" s="5">
        <v>0.633</v>
      </c>
      <c r="V24" s="5">
        <v>0.91</v>
      </c>
      <c r="W24" s="5">
        <v>0.91</v>
      </c>
      <c r="X24" s="4">
        <v>21.65</v>
      </c>
    </row>
    <row r="25" ht="14.5" customHeight="1" spans="2:24">
      <c r="B25" s="6" t="str">
        <f t="shared" si="0"/>
        <v>43115-DT1EJ20250101-A-JIEU8015558-PARTS</v>
      </c>
      <c r="C25" t="s">
        <v>80</v>
      </c>
      <c r="D25" t="s">
        <v>81</v>
      </c>
      <c r="E25" t="s">
        <v>82</v>
      </c>
      <c r="F25" t="s">
        <v>83</v>
      </c>
      <c r="G25" s="1" t="s">
        <v>84</v>
      </c>
      <c r="I25" s="1" t="s">
        <v>85</v>
      </c>
      <c r="J25" s="1" t="s">
        <v>86</v>
      </c>
      <c r="K25" s="1" t="s">
        <v>93</v>
      </c>
      <c r="L25">
        <v>8708299009</v>
      </c>
      <c r="M25" s="2" t="s">
        <v>94</v>
      </c>
      <c r="N25" s="3" t="s">
        <v>95</v>
      </c>
      <c r="O25" s="1">
        <v>1</v>
      </c>
      <c r="P25" s="4">
        <v>19.64</v>
      </c>
      <c r="Q25" s="4">
        <v>1.57</v>
      </c>
      <c r="R25" s="4">
        <v>0.05</v>
      </c>
      <c r="S25" s="4">
        <v>21.26</v>
      </c>
      <c r="T25" s="5">
        <v>0.622</v>
      </c>
      <c r="U25" s="5">
        <v>0.622</v>
      </c>
      <c r="V25" s="5">
        <v>0.9</v>
      </c>
      <c r="W25" s="5">
        <v>0.9</v>
      </c>
      <c r="X25" s="4">
        <v>21.26</v>
      </c>
    </row>
    <row r="26" ht="14.5" customHeight="1" spans="2:24">
      <c r="B26" s="6" t="str">
        <f t="shared" si="0"/>
        <v>43115-DT1EJ20250101-A-JIEU8015558-PARTS</v>
      </c>
      <c r="C26" t="s">
        <v>80</v>
      </c>
      <c r="D26" t="s">
        <v>81</v>
      </c>
      <c r="E26" t="s">
        <v>82</v>
      </c>
      <c r="F26" t="s">
        <v>83</v>
      </c>
      <c r="G26" s="1" t="s">
        <v>84</v>
      </c>
      <c r="I26" s="1" t="s">
        <v>85</v>
      </c>
      <c r="J26" s="1" t="s">
        <v>86</v>
      </c>
      <c r="K26" s="1" t="s">
        <v>87</v>
      </c>
      <c r="L26">
        <v>8708999709</v>
      </c>
      <c r="M26" s="2" t="s">
        <v>88</v>
      </c>
      <c r="N26" s="3" t="s">
        <v>89</v>
      </c>
      <c r="O26" s="1">
        <v>1</v>
      </c>
      <c r="P26" s="4">
        <v>831.11</v>
      </c>
      <c r="Q26" s="4">
        <v>66.62</v>
      </c>
      <c r="R26" s="4">
        <v>1.92</v>
      </c>
      <c r="S26" s="4">
        <v>899.65</v>
      </c>
      <c r="T26" s="5">
        <v>7.824</v>
      </c>
      <c r="U26" s="5">
        <v>7.824</v>
      </c>
      <c r="V26" s="5">
        <v>11.27</v>
      </c>
      <c r="W26" s="5">
        <v>11.27</v>
      </c>
      <c r="X26" s="4">
        <v>899.65</v>
      </c>
    </row>
    <row r="27" ht="14.5" customHeight="1" spans="2:24">
      <c r="B27" s="6" t="str">
        <f t="shared" si="0"/>
        <v>43115-DT1EJ20250101-A-JIEU8015558-PARTS</v>
      </c>
      <c r="C27" t="s">
        <v>80</v>
      </c>
      <c r="D27" t="s">
        <v>81</v>
      </c>
      <c r="E27" t="s">
        <v>82</v>
      </c>
      <c r="F27" t="s">
        <v>83</v>
      </c>
      <c r="G27" s="1" t="s">
        <v>84</v>
      </c>
      <c r="I27" s="1" t="s">
        <v>85</v>
      </c>
      <c r="J27" s="1" t="s">
        <v>86</v>
      </c>
      <c r="K27" s="1" t="s">
        <v>90</v>
      </c>
      <c r="L27">
        <v>8708299009</v>
      </c>
      <c r="M27" s="2" t="s">
        <v>91</v>
      </c>
      <c r="N27" s="3" t="s">
        <v>92</v>
      </c>
      <c r="O27" s="1">
        <v>1</v>
      </c>
      <c r="P27" s="4">
        <v>20</v>
      </c>
      <c r="Q27" s="4">
        <v>1.6</v>
      </c>
      <c r="R27" s="4">
        <v>0.05</v>
      </c>
      <c r="S27" s="4">
        <v>21.65</v>
      </c>
      <c r="T27" s="5">
        <v>0.633</v>
      </c>
      <c r="U27" s="5">
        <v>0.633</v>
      </c>
      <c r="V27" s="5">
        <v>0.91</v>
      </c>
      <c r="W27" s="5">
        <v>0.91</v>
      </c>
      <c r="X27" s="4">
        <v>21.65</v>
      </c>
    </row>
    <row r="28" ht="14.5" customHeight="1" spans="2:24">
      <c r="B28" s="6" t="str">
        <f t="shared" si="0"/>
        <v>43115-DT1EJ20250101-A-JIEU8015558-PARTS</v>
      </c>
      <c r="C28" t="s">
        <v>80</v>
      </c>
      <c r="D28" t="s">
        <v>81</v>
      </c>
      <c r="E28" t="s">
        <v>82</v>
      </c>
      <c r="F28" t="s">
        <v>83</v>
      </c>
      <c r="G28" s="1" t="s">
        <v>84</v>
      </c>
      <c r="I28" s="1" t="s">
        <v>85</v>
      </c>
      <c r="J28" s="1" t="s">
        <v>86</v>
      </c>
      <c r="K28" s="1" t="s">
        <v>93</v>
      </c>
      <c r="L28">
        <v>8708299009</v>
      </c>
      <c r="M28" s="2" t="s">
        <v>94</v>
      </c>
      <c r="N28" s="3" t="s">
        <v>95</v>
      </c>
      <c r="O28" s="1">
        <v>1</v>
      </c>
      <c r="P28" s="4">
        <v>19.64</v>
      </c>
      <c r="Q28" s="4">
        <v>1.57</v>
      </c>
      <c r="R28" s="4">
        <v>0.05</v>
      </c>
      <c r="S28" s="4">
        <v>21.26</v>
      </c>
      <c r="T28" s="5">
        <v>0.622</v>
      </c>
      <c r="U28" s="5">
        <v>0.622</v>
      </c>
      <c r="V28" s="5">
        <v>0.9</v>
      </c>
      <c r="W28" s="5">
        <v>0.9</v>
      </c>
      <c r="X28" s="4">
        <v>21.26</v>
      </c>
    </row>
    <row r="29" ht="14.5" customHeight="1" spans="2:24">
      <c r="B29" s="6" t="str">
        <f t="shared" si="0"/>
        <v>43115-DT1EJ20250101-A-JIEU8015558-PARTS</v>
      </c>
      <c r="C29" t="s">
        <v>80</v>
      </c>
      <c r="D29" t="s">
        <v>81</v>
      </c>
      <c r="E29" t="s">
        <v>82</v>
      </c>
      <c r="F29" t="s">
        <v>83</v>
      </c>
      <c r="G29" s="1" t="s">
        <v>84</v>
      </c>
      <c r="I29" s="1" t="s">
        <v>85</v>
      </c>
      <c r="J29" s="1" t="s">
        <v>86</v>
      </c>
      <c r="K29" s="1" t="s">
        <v>87</v>
      </c>
      <c r="L29">
        <v>8708999709</v>
      </c>
      <c r="M29" s="2" t="s">
        <v>88</v>
      </c>
      <c r="N29" s="3" t="s">
        <v>89</v>
      </c>
      <c r="O29" s="1">
        <v>1</v>
      </c>
      <c r="P29" s="4">
        <v>831.11</v>
      </c>
      <c r="Q29" s="4">
        <v>66.62</v>
      </c>
      <c r="R29" s="4">
        <v>1.92</v>
      </c>
      <c r="S29" s="4">
        <v>899.65</v>
      </c>
      <c r="T29" s="5">
        <v>7.824</v>
      </c>
      <c r="U29" s="5">
        <v>7.824</v>
      </c>
      <c r="V29" s="5">
        <v>11.27</v>
      </c>
      <c r="W29" s="5">
        <v>11.27</v>
      </c>
      <c r="X29" s="4">
        <v>899.65</v>
      </c>
    </row>
    <row r="30" ht="14.5" customHeight="1" spans="2:24">
      <c r="B30" s="6" t="str">
        <f t="shared" si="0"/>
        <v>43115-DT1EJ20250101-A-JIEU8015558-PARTS</v>
      </c>
      <c r="C30" t="s">
        <v>80</v>
      </c>
      <c r="D30" t="s">
        <v>81</v>
      </c>
      <c r="E30" t="s">
        <v>82</v>
      </c>
      <c r="F30" t="s">
        <v>83</v>
      </c>
      <c r="G30" s="1" t="s">
        <v>84</v>
      </c>
      <c r="I30" s="1" t="s">
        <v>85</v>
      </c>
      <c r="J30" s="1" t="s">
        <v>86</v>
      </c>
      <c r="K30" s="1" t="s">
        <v>90</v>
      </c>
      <c r="L30">
        <v>8708299009</v>
      </c>
      <c r="M30" s="2" t="s">
        <v>91</v>
      </c>
      <c r="N30" s="3" t="s">
        <v>92</v>
      </c>
      <c r="O30" s="1">
        <v>1</v>
      </c>
      <c r="P30" s="4">
        <v>20</v>
      </c>
      <c r="Q30" s="4">
        <v>1.6</v>
      </c>
      <c r="R30" s="4">
        <v>0.05</v>
      </c>
      <c r="S30" s="4">
        <v>21.65</v>
      </c>
      <c r="T30" s="5">
        <v>0.633</v>
      </c>
      <c r="U30" s="5">
        <v>0.633</v>
      </c>
      <c r="V30" s="5">
        <v>0.91</v>
      </c>
      <c r="W30" s="5">
        <v>0.91</v>
      </c>
      <c r="X30" s="4">
        <v>21.65</v>
      </c>
    </row>
    <row r="31" ht="14.5" customHeight="1" spans="2:24">
      <c r="B31" s="6" t="str">
        <f t="shared" si="0"/>
        <v>43115-DT1EJ20250101-A-JIEU8015558-PARTS</v>
      </c>
      <c r="C31" t="s">
        <v>80</v>
      </c>
      <c r="D31" t="s">
        <v>81</v>
      </c>
      <c r="E31" t="s">
        <v>82</v>
      </c>
      <c r="F31" t="s">
        <v>83</v>
      </c>
      <c r="G31" s="1" t="s">
        <v>84</v>
      </c>
      <c r="I31" s="1" t="s">
        <v>85</v>
      </c>
      <c r="J31" s="1" t="s">
        <v>86</v>
      </c>
      <c r="K31" s="1" t="s">
        <v>93</v>
      </c>
      <c r="L31">
        <v>8708299009</v>
      </c>
      <c r="M31" s="2" t="s">
        <v>94</v>
      </c>
      <c r="N31" s="3" t="s">
        <v>95</v>
      </c>
      <c r="O31" s="1">
        <v>1</v>
      </c>
      <c r="P31" s="4">
        <v>19.64</v>
      </c>
      <c r="Q31" s="4">
        <v>1.57</v>
      </c>
      <c r="R31" s="4">
        <v>0.05</v>
      </c>
      <c r="S31" s="4">
        <v>21.26</v>
      </c>
      <c r="T31" s="5">
        <v>0.622</v>
      </c>
      <c r="U31" s="5">
        <v>0.622</v>
      </c>
      <c r="V31" s="5">
        <v>0.9</v>
      </c>
      <c r="W31" s="5">
        <v>0.9</v>
      </c>
      <c r="X31" s="4">
        <v>21.26</v>
      </c>
    </row>
    <row r="32" ht="14.5" customHeight="1" spans="2:24">
      <c r="B32" s="6" t="str">
        <f t="shared" si="0"/>
        <v>43115-DT1EJ20250101-A-JIEU8015558-PARTS</v>
      </c>
      <c r="C32" t="s">
        <v>80</v>
      </c>
      <c r="D32" t="s">
        <v>81</v>
      </c>
      <c r="E32" t="s">
        <v>82</v>
      </c>
      <c r="F32" t="s">
        <v>83</v>
      </c>
      <c r="G32" s="1" t="s">
        <v>84</v>
      </c>
      <c r="I32" s="1" t="s">
        <v>85</v>
      </c>
      <c r="J32" s="1" t="s">
        <v>86</v>
      </c>
      <c r="K32" s="1" t="s">
        <v>87</v>
      </c>
      <c r="L32">
        <v>8708999709</v>
      </c>
      <c r="M32" s="2" t="s">
        <v>88</v>
      </c>
      <c r="N32" s="3" t="s">
        <v>89</v>
      </c>
      <c r="O32" s="1">
        <v>1</v>
      </c>
      <c r="P32" s="4">
        <v>831.11</v>
      </c>
      <c r="Q32" s="4">
        <v>66.62</v>
      </c>
      <c r="R32" s="4">
        <v>1.92</v>
      </c>
      <c r="S32" s="4">
        <v>899.65</v>
      </c>
      <c r="T32" s="5">
        <v>7.824</v>
      </c>
      <c r="U32" s="5">
        <v>7.824</v>
      </c>
      <c r="V32" s="5">
        <v>11.27</v>
      </c>
      <c r="W32" s="5">
        <v>11.27</v>
      </c>
      <c r="X32" s="4">
        <v>899.65</v>
      </c>
    </row>
    <row r="33" ht="14.5" customHeight="1" spans="2:24">
      <c r="B33" s="6" t="str">
        <f t="shared" si="0"/>
        <v>43115-DT1EJ20250101-A-JIEU8015558-PARTS</v>
      </c>
      <c r="C33" t="s">
        <v>80</v>
      </c>
      <c r="D33" t="s">
        <v>81</v>
      </c>
      <c r="E33" t="s">
        <v>82</v>
      </c>
      <c r="F33" t="s">
        <v>83</v>
      </c>
      <c r="G33" s="1" t="s">
        <v>84</v>
      </c>
      <c r="I33" s="1" t="s">
        <v>85</v>
      </c>
      <c r="J33" s="1" t="s">
        <v>86</v>
      </c>
      <c r="K33" s="1" t="s">
        <v>90</v>
      </c>
      <c r="L33">
        <v>8708299009</v>
      </c>
      <c r="M33" s="2" t="s">
        <v>91</v>
      </c>
      <c r="N33" s="3" t="s">
        <v>92</v>
      </c>
      <c r="O33" s="1">
        <v>1</v>
      </c>
      <c r="P33" s="4">
        <v>20</v>
      </c>
      <c r="Q33" s="4">
        <v>1.6</v>
      </c>
      <c r="R33" s="4">
        <v>0.05</v>
      </c>
      <c r="S33" s="4">
        <v>21.65</v>
      </c>
      <c r="T33" s="5">
        <v>0.633</v>
      </c>
      <c r="U33" s="5">
        <v>0.633</v>
      </c>
      <c r="V33" s="5">
        <v>0.91</v>
      </c>
      <c r="W33" s="5">
        <v>0.91</v>
      </c>
      <c r="X33" s="4">
        <v>21.65</v>
      </c>
    </row>
    <row r="34" ht="14.5" customHeight="1" spans="2:24">
      <c r="B34" s="6" t="str">
        <f t="shared" si="0"/>
        <v>43115-DT1EJ20250101-A-JIEU8015558-PARTS</v>
      </c>
      <c r="C34" t="s">
        <v>80</v>
      </c>
      <c r="D34" t="s">
        <v>81</v>
      </c>
      <c r="E34" t="s">
        <v>82</v>
      </c>
      <c r="F34" t="s">
        <v>83</v>
      </c>
      <c r="G34" s="1" t="s">
        <v>84</v>
      </c>
      <c r="I34" s="1" t="s">
        <v>85</v>
      </c>
      <c r="J34" s="1" t="s">
        <v>86</v>
      </c>
      <c r="K34" s="1" t="s">
        <v>93</v>
      </c>
      <c r="L34">
        <v>8708299009</v>
      </c>
      <c r="M34" s="2" t="s">
        <v>94</v>
      </c>
      <c r="N34" s="3" t="s">
        <v>95</v>
      </c>
      <c r="O34" s="1">
        <v>1</v>
      </c>
      <c r="P34" s="4">
        <v>19.64</v>
      </c>
      <c r="Q34" s="4">
        <v>1.57</v>
      </c>
      <c r="R34" s="4">
        <v>0.05</v>
      </c>
      <c r="S34" s="4">
        <v>21.26</v>
      </c>
      <c r="T34" s="5">
        <v>0.622</v>
      </c>
      <c r="U34" s="5">
        <v>0.622</v>
      </c>
      <c r="V34" s="5">
        <v>0.9</v>
      </c>
      <c r="W34" s="5">
        <v>0.9</v>
      </c>
      <c r="X34" s="4">
        <v>21.26</v>
      </c>
    </row>
    <row r="35" ht="14.5" customHeight="1" spans="2:24">
      <c r="B35" s="6" t="str">
        <f t="shared" si="0"/>
        <v>43115-DT1EJ20250101-A-JIEU8015558-PARTS</v>
      </c>
      <c r="C35" t="s">
        <v>80</v>
      </c>
      <c r="D35" t="s">
        <v>81</v>
      </c>
      <c r="E35" t="s">
        <v>82</v>
      </c>
      <c r="F35" t="s">
        <v>83</v>
      </c>
      <c r="G35" s="1" t="s">
        <v>84</v>
      </c>
      <c r="I35" s="1" t="s">
        <v>85</v>
      </c>
      <c r="J35" s="1" t="s">
        <v>86</v>
      </c>
      <c r="K35" s="1" t="s">
        <v>87</v>
      </c>
      <c r="L35">
        <v>8708999709</v>
      </c>
      <c r="M35" s="2" t="s">
        <v>88</v>
      </c>
      <c r="N35" s="3" t="s">
        <v>89</v>
      </c>
      <c r="O35" s="1">
        <v>1</v>
      </c>
      <c r="P35" s="4">
        <v>831.11</v>
      </c>
      <c r="Q35" s="4">
        <v>66.62</v>
      </c>
      <c r="R35" s="4">
        <v>1.92</v>
      </c>
      <c r="S35" s="4">
        <v>899.65</v>
      </c>
      <c r="T35" s="5">
        <v>7.824</v>
      </c>
      <c r="U35" s="5">
        <v>7.824</v>
      </c>
      <c r="V35" s="5">
        <v>11.27</v>
      </c>
      <c r="W35" s="5">
        <v>11.27</v>
      </c>
      <c r="X35" s="4">
        <v>899.65</v>
      </c>
    </row>
    <row r="36" ht="14.5" customHeight="1" spans="2:24">
      <c r="B36" s="6" t="str">
        <f t="shared" si="0"/>
        <v>43115-DT1EJ20250101-A-JIEU8015558-PARTS</v>
      </c>
      <c r="C36" t="s">
        <v>80</v>
      </c>
      <c r="D36" t="s">
        <v>81</v>
      </c>
      <c r="E36" t="s">
        <v>82</v>
      </c>
      <c r="F36" t="s">
        <v>83</v>
      </c>
      <c r="G36" s="1" t="s">
        <v>84</v>
      </c>
      <c r="I36" s="1" t="s">
        <v>85</v>
      </c>
      <c r="J36" s="1" t="s">
        <v>86</v>
      </c>
      <c r="K36" s="1" t="s">
        <v>90</v>
      </c>
      <c r="L36">
        <v>8708299009</v>
      </c>
      <c r="M36" s="2" t="s">
        <v>91</v>
      </c>
      <c r="N36" s="3" t="s">
        <v>92</v>
      </c>
      <c r="O36" s="1">
        <v>1</v>
      </c>
      <c r="P36" s="4">
        <v>20</v>
      </c>
      <c r="Q36" s="4">
        <v>1.6</v>
      </c>
      <c r="R36" s="4">
        <v>0.05</v>
      </c>
      <c r="S36" s="4">
        <v>21.65</v>
      </c>
      <c r="T36" s="5">
        <v>0.633</v>
      </c>
      <c r="U36" s="5">
        <v>0.633</v>
      </c>
      <c r="V36" s="5">
        <v>0.91</v>
      </c>
      <c r="W36" s="5">
        <v>0.91</v>
      </c>
      <c r="X36" s="4">
        <v>21.65</v>
      </c>
    </row>
    <row r="37" ht="14.5" customHeight="1" spans="2:24">
      <c r="B37" s="6" t="str">
        <f t="shared" si="0"/>
        <v>43115-DT1EJ20250101-A-JIEU8015558-PARTS</v>
      </c>
      <c r="C37" t="s">
        <v>80</v>
      </c>
      <c r="D37" t="s">
        <v>81</v>
      </c>
      <c r="E37" t="s">
        <v>82</v>
      </c>
      <c r="F37" t="s">
        <v>83</v>
      </c>
      <c r="G37" s="1" t="s">
        <v>84</v>
      </c>
      <c r="I37" s="1" t="s">
        <v>85</v>
      </c>
      <c r="J37" s="1" t="s">
        <v>86</v>
      </c>
      <c r="K37" s="1" t="s">
        <v>93</v>
      </c>
      <c r="L37">
        <v>8708299009</v>
      </c>
      <c r="M37" s="2" t="s">
        <v>94</v>
      </c>
      <c r="N37" s="3" t="s">
        <v>95</v>
      </c>
      <c r="O37" s="1">
        <v>1</v>
      </c>
      <c r="P37" s="4">
        <v>19.64</v>
      </c>
      <c r="Q37" s="4">
        <v>1.57</v>
      </c>
      <c r="R37" s="4">
        <v>0.05</v>
      </c>
      <c r="S37" s="4">
        <v>21.26</v>
      </c>
      <c r="T37" s="5">
        <v>0.622</v>
      </c>
      <c r="U37" s="5">
        <v>0.622</v>
      </c>
      <c r="V37" s="5">
        <v>0.9</v>
      </c>
      <c r="W37" s="5">
        <v>0.9</v>
      </c>
      <c r="X37" s="4">
        <v>21.26</v>
      </c>
    </row>
    <row r="38" ht="14.5" customHeight="1" spans="2:24">
      <c r="B38" s="6" t="str">
        <f t="shared" si="0"/>
        <v>43115-DT1EJ20250101-A-JIEU8015558-PARTS</v>
      </c>
      <c r="C38" t="s">
        <v>80</v>
      </c>
      <c r="D38" t="s">
        <v>81</v>
      </c>
      <c r="E38" t="s">
        <v>82</v>
      </c>
      <c r="F38" t="s">
        <v>83</v>
      </c>
      <c r="G38" s="1" t="s">
        <v>84</v>
      </c>
      <c r="I38" s="1" t="s">
        <v>85</v>
      </c>
      <c r="J38" s="1" t="s">
        <v>86</v>
      </c>
      <c r="K38" s="1" t="s">
        <v>87</v>
      </c>
      <c r="L38">
        <v>8708999709</v>
      </c>
      <c r="M38" s="2" t="s">
        <v>88</v>
      </c>
      <c r="N38" s="3" t="s">
        <v>89</v>
      </c>
      <c r="O38" s="1">
        <v>1</v>
      </c>
      <c r="P38" s="4">
        <v>831.11</v>
      </c>
      <c r="Q38" s="4">
        <v>66.62</v>
      </c>
      <c r="R38" s="4">
        <v>1.92</v>
      </c>
      <c r="S38" s="4">
        <v>899.65</v>
      </c>
      <c r="T38" s="5">
        <v>7.824</v>
      </c>
      <c r="U38" s="5">
        <v>7.824</v>
      </c>
      <c r="V38" s="5">
        <v>11.27</v>
      </c>
      <c r="W38" s="5">
        <v>11.27</v>
      </c>
      <c r="X38" s="4">
        <v>899.65</v>
      </c>
    </row>
    <row r="39" ht="14.5" customHeight="1" spans="2:24">
      <c r="B39" s="6" t="str">
        <f t="shared" si="0"/>
        <v>43115-DT1EJ20250101-A-JIEU8015558-PARTS</v>
      </c>
      <c r="C39" t="s">
        <v>80</v>
      </c>
      <c r="D39" t="s">
        <v>81</v>
      </c>
      <c r="E39" t="s">
        <v>82</v>
      </c>
      <c r="F39" t="s">
        <v>83</v>
      </c>
      <c r="G39" s="1" t="s">
        <v>84</v>
      </c>
      <c r="I39" s="1" t="s">
        <v>85</v>
      </c>
      <c r="J39" s="1" t="s">
        <v>86</v>
      </c>
      <c r="K39" s="1" t="s">
        <v>90</v>
      </c>
      <c r="L39">
        <v>8708299009</v>
      </c>
      <c r="M39" s="2" t="s">
        <v>91</v>
      </c>
      <c r="N39" s="3" t="s">
        <v>92</v>
      </c>
      <c r="O39" s="1">
        <v>1</v>
      </c>
      <c r="P39" s="4">
        <v>20</v>
      </c>
      <c r="Q39" s="4">
        <v>1.6</v>
      </c>
      <c r="R39" s="4">
        <v>0.05</v>
      </c>
      <c r="S39" s="4">
        <v>21.65</v>
      </c>
      <c r="T39" s="5">
        <v>0.633</v>
      </c>
      <c r="U39" s="5">
        <v>0.633</v>
      </c>
      <c r="V39" s="5">
        <v>0.91</v>
      </c>
      <c r="W39" s="5">
        <v>0.91</v>
      </c>
      <c r="X39" s="4">
        <v>21.65</v>
      </c>
    </row>
    <row r="40" ht="14.5" customHeight="1" spans="2:24">
      <c r="B40" s="6" t="str">
        <f t="shared" si="0"/>
        <v>43115-DT1EJ20250101-A-JIEU8015558-PARTS</v>
      </c>
      <c r="C40" t="s">
        <v>80</v>
      </c>
      <c r="D40" t="s">
        <v>81</v>
      </c>
      <c r="E40" t="s">
        <v>82</v>
      </c>
      <c r="F40" t="s">
        <v>83</v>
      </c>
      <c r="G40" s="1" t="s">
        <v>84</v>
      </c>
      <c r="I40" s="1" t="s">
        <v>85</v>
      </c>
      <c r="J40" s="1" t="s">
        <v>86</v>
      </c>
      <c r="K40" s="1" t="s">
        <v>93</v>
      </c>
      <c r="L40">
        <v>8708299009</v>
      </c>
      <c r="M40" s="2" t="s">
        <v>94</v>
      </c>
      <c r="N40" s="3" t="s">
        <v>95</v>
      </c>
      <c r="O40" s="1">
        <v>1</v>
      </c>
      <c r="P40" s="4">
        <v>19.64</v>
      </c>
      <c r="Q40" s="4">
        <v>1.57</v>
      </c>
      <c r="R40" s="4">
        <v>0.05</v>
      </c>
      <c r="S40" s="4">
        <v>21.26</v>
      </c>
      <c r="T40" s="5">
        <v>0.622</v>
      </c>
      <c r="U40" s="5">
        <v>0.622</v>
      </c>
      <c r="V40" s="5">
        <v>0.9</v>
      </c>
      <c r="W40" s="5">
        <v>0.9</v>
      </c>
      <c r="X40" s="4">
        <v>21.26</v>
      </c>
    </row>
    <row r="41" ht="14.5" customHeight="1" spans="2:24">
      <c r="B41" s="6" t="str">
        <f t="shared" si="0"/>
        <v>43115-DT1EJ20250101-A-JIEU8015558-PARTS</v>
      </c>
      <c r="C41" t="s">
        <v>80</v>
      </c>
      <c r="D41" t="s">
        <v>81</v>
      </c>
      <c r="E41" t="s">
        <v>82</v>
      </c>
      <c r="F41" t="s">
        <v>83</v>
      </c>
      <c r="G41" s="1" t="s">
        <v>84</v>
      </c>
      <c r="I41" s="1" t="s">
        <v>85</v>
      </c>
      <c r="J41" s="1" t="s">
        <v>86</v>
      </c>
      <c r="K41" s="1" t="s">
        <v>87</v>
      </c>
      <c r="L41">
        <v>8708999709</v>
      </c>
      <c r="M41" s="2" t="s">
        <v>88</v>
      </c>
      <c r="N41" s="3" t="s">
        <v>89</v>
      </c>
      <c r="O41" s="1">
        <v>1</v>
      </c>
      <c r="P41" s="4">
        <v>831.11</v>
      </c>
      <c r="Q41" s="4">
        <v>66.62</v>
      </c>
      <c r="R41" s="4">
        <v>1.92</v>
      </c>
      <c r="S41" s="4">
        <v>899.65</v>
      </c>
      <c r="T41" s="5">
        <v>7.824</v>
      </c>
      <c r="U41" s="5">
        <v>7.824</v>
      </c>
      <c r="V41" s="5">
        <v>11.27</v>
      </c>
      <c r="W41" s="5">
        <v>11.27</v>
      </c>
      <c r="X41" s="4">
        <v>899.65</v>
      </c>
    </row>
    <row r="42" ht="14.5" customHeight="1" spans="2:24">
      <c r="B42" s="6" t="str">
        <f t="shared" si="0"/>
        <v>43115-DT1EJ20250101-A-JIEU8015558-PARTS</v>
      </c>
      <c r="C42" t="s">
        <v>80</v>
      </c>
      <c r="D42" t="s">
        <v>81</v>
      </c>
      <c r="E42" t="s">
        <v>82</v>
      </c>
      <c r="F42" t="s">
        <v>83</v>
      </c>
      <c r="G42" s="1" t="s">
        <v>84</v>
      </c>
      <c r="I42" s="1" t="s">
        <v>85</v>
      </c>
      <c r="J42" s="1" t="s">
        <v>86</v>
      </c>
      <c r="K42" s="1" t="s">
        <v>90</v>
      </c>
      <c r="L42">
        <v>8708299009</v>
      </c>
      <c r="M42" s="2" t="s">
        <v>91</v>
      </c>
      <c r="N42" s="3" t="s">
        <v>92</v>
      </c>
      <c r="O42" s="1">
        <v>1</v>
      </c>
      <c r="P42" s="4">
        <v>20</v>
      </c>
      <c r="Q42" s="4">
        <v>1.6</v>
      </c>
      <c r="R42" s="4">
        <v>0.05</v>
      </c>
      <c r="S42" s="4">
        <v>21.65</v>
      </c>
      <c r="T42" s="5">
        <v>0.633</v>
      </c>
      <c r="U42" s="5">
        <v>0.633</v>
      </c>
      <c r="V42" s="5">
        <v>0.91</v>
      </c>
      <c r="W42" s="5">
        <v>0.91</v>
      </c>
      <c r="X42" s="4">
        <v>21.65</v>
      </c>
    </row>
    <row r="43" ht="14.5" customHeight="1" spans="2:24">
      <c r="B43" s="6" t="str">
        <f t="shared" si="0"/>
        <v>43115-DT1EJ20250101-A-JIEU8015558-PARTS</v>
      </c>
      <c r="C43" t="s">
        <v>80</v>
      </c>
      <c r="D43" t="s">
        <v>81</v>
      </c>
      <c r="E43" t="s">
        <v>82</v>
      </c>
      <c r="F43" t="s">
        <v>83</v>
      </c>
      <c r="G43" s="1" t="s">
        <v>84</v>
      </c>
      <c r="I43" s="1" t="s">
        <v>85</v>
      </c>
      <c r="J43" s="1" t="s">
        <v>86</v>
      </c>
      <c r="K43" s="1" t="s">
        <v>93</v>
      </c>
      <c r="L43">
        <v>8708299009</v>
      </c>
      <c r="M43" s="2" t="s">
        <v>94</v>
      </c>
      <c r="N43" s="3" t="s">
        <v>95</v>
      </c>
      <c r="O43" s="1">
        <v>1</v>
      </c>
      <c r="P43" s="4">
        <v>19.64</v>
      </c>
      <c r="Q43" s="4">
        <v>1.57</v>
      </c>
      <c r="R43" s="4">
        <v>0.05</v>
      </c>
      <c r="S43" s="4">
        <v>21.26</v>
      </c>
      <c r="T43" s="5">
        <v>0.622</v>
      </c>
      <c r="U43" s="5">
        <v>0.622</v>
      </c>
      <c r="V43" s="5">
        <v>0.9</v>
      </c>
      <c r="W43" s="5">
        <v>0.9</v>
      </c>
      <c r="X43" s="4">
        <v>21.26</v>
      </c>
    </row>
    <row r="44" ht="14.5" customHeight="1" spans="2:24">
      <c r="B44" s="6" t="str">
        <f t="shared" si="0"/>
        <v>43115-DT1EJ20250101-A-JIEU8015558-PARTS</v>
      </c>
      <c r="C44" t="s">
        <v>80</v>
      </c>
      <c r="D44" t="s">
        <v>81</v>
      </c>
      <c r="E44" t="s">
        <v>82</v>
      </c>
      <c r="F44" t="s">
        <v>83</v>
      </c>
      <c r="G44" s="1" t="s">
        <v>84</v>
      </c>
      <c r="I44" s="1" t="s">
        <v>85</v>
      </c>
      <c r="J44" s="1" t="s">
        <v>86</v>
      </c>
      <c r="K44" s="1" t="s">
        <v>87</v>
      </c>
      <c r="L44">
        <v>8708999709</v>
      </c>
      <c r="M44" s="2" t="s">
        <v>88</v>
      </c>
      <c r="N44" s="3" t="s">
        <v>89</v>
      </c>
      <c r="O44" s="1">
        <v>1</v>
      </c>
      <c r="P44" s="4">
        <v>831.11</v>
      </c>
      <c r="Q44" s="4">
        <v>66.62</v>
      </c>
      <c r="R44" s="4">
        <v>1.92</v>
      </c>
      <c r="S44" s="4">
        <v>899.65</v>
      </c>
      <c r="T44" s="5">
        <v>7.824</v>
      </c>
      <c r="U44" s="5">
        <v>7.824</v>
      </c>
      <c r="V44" s="5">
        <v>11.27</v>
      </c>
      <c r="W44" s="5">
        <v>11.27</v>
      </c>
      <c r="X44" s="4">
        <v>899.65</v>
      </c>
    </row>
    <row r="45" ht="14.5" customHeight="1" spans="2:24">
      <c r="B45" s="6" t="str">
        <f t="shared" si="0"/>
        <v>43115-DT1EJ20250101-A-JIEU8015558-PARTS</v>
      </c>
      <c r="C45" t="s">
        <v>80</v>
      </c>
      <c r="D45" t="s">
        <v>81</v>
      </c>
      <c r="E45" t="s">
        <v>82</v>
      </c>
      <c r="F45" t="s">
        <v>83</v>
      </c>
      <c r="G45" s="1" t="s">
        <v>84</v>
      </c>
      <c r="I45" s="1" t="s">
        <v>85</v>
      </c>
      <c r="J45" s="1" t="s">
        <v>86</v>
      </c>
      <c r="K45" s="1" t="s">
        <v>90</v>
      </c>
      <c r="L45">
        <v>8708299009</v>
      </c>
      <c r="M45" s="2" t="s">
        <v>91</v>
      </c>
      <c r="N45" s="3" t="s">
        <v>92</v>
      </c>
      <c r="O45" s="1">
        <v>1</v>
      </c>
      <c r="P45" s="4">
        <v>20</v>
      </c>
      <c r="Q45" s="4">
        <v>1.6</v>
      </c>
      <c r="R45" s="4">
        <v>0.05</v>
      </c>
      <c r="S45" s="4">
        <v>21.65</v>
      </c>
      <c r="T45" s="5">
        <v>0.633</v>
      </c>
      <c r="U45" s="5">
        <v>0.633</v>
      </c>
      <c r="V45" s="5">
        <v>0.91</v>
      </c>
      <c r="W45" s="5">
        <v>0.91</v>
      </c>
      <c r="X45" s="4">
        <v>21.65</v>
      </c>
    </row>
    <row r="46" ht="14.5" customHeight="1" spans="2:24">
      <c r="B46" s="6" t="str">
        <f t="shared" si="0"/>
        <v>43115-DT1EJ20250101-A-JIEU8015558-PARTS</v>
      </c>
      <c r="C46" t="s">
        <v>80</v>
      </c>
      <c r="D46" t="s">
        <v>81</v>
      </c>
      <c r="E46" t="s">
        <v>82</v>
      </c>
      <c r="F46" t="s">
        <v>83</v>
      </c>
      <c r="G46" s="1" t="s">
        <v>84</v>
      </c>
      <c r="I46" s="1" t="s">
        <v>85</v>
      </c>
      <c r="J46" s="1" t="s">
        <v>86</v>
      </c>
      <c r="K46" s="1" t="s">
        <v>93</v>
      </c>
      <c r="L46">
        <v>8708299009</v>
      </c>
      <c r="M46" s="2" t="s">
        <v>94</v>
      </c>
      <c r="N46" s="3" t="s">
        <v>95</v>
      </c>
      <c r="O46" s="1">
        <v>1</v>
      </c>
      <c r="P46" s="4">
        <v>19.64</v>
      </c>
      <c r="Q46" s="4">
        <v>1.57</v>
      </c>
      <c r="R46" s="4">
        <v>0.05</v>
      </c>
      <c r="S46" s="4">
        <v>21.26</v>
      </c>
      <c r="T46" s="5">
        <v>0.622</v>
      </c>
      <c r="U46" s="5">
        <v>0.622</v>
      </c>
      <c r="V46" s="5">
        <v>0.9</v>
      </c>
      <c r="W46" s="5">
        <v>0.9</v>
      </c>
      <c r="X46" s="4">
        <v>21.26</v>
      </c>
    </row>
    <row r="47" ht="14.5" customHeight="1" spans="2:24">
      <c r="B47" s="6" t="str">
        <f t="shared" si="0"/>
        <v>43115-DT1EJ20250101-A-JIEU8015558-PARTS</v>
      </c>
      <c r="C47" t="s">
        <v>80</v>
      </c>
      <c r="D47" t="s">
        <v>81</v>
      </c>
      <c r="E47" t="s">
        <v>82</v>
      </c>
      <c r="F47" t="s">
        <v>83</v>
      </c>
      <c r="G47" s="1" t="s">
        <v>84</v>
      </c>
      <c r="I47" s="1" t="s">
        <v>85</v>
      </c>
      <c r="J47" s="1" t="s">
        <v>86</v>
      </c>
      <c r="K47" s="1" t="s">
        <v>87</v>
      </c>
      <c r="L47">
        <v>8708999709</v>
      </c>
      <c r="M47" s="2" t="s">
        <v>88</v>
      </c>
      <c r="N47" s="3" t="s">
        <v>89</v>
      </c>
      <c r="O47" s="1">
        <v>1</v>
      </c>
      <c r="P47" s="4">
        <v>831.11</v>
      </c>
      <c r="Q47" s="4">
        <v>66.62</v>
      </c>
      <c r="R47" s="4">
        <v>1.92</v>
      </c>
      <c r="S47" s="4">
        <v>899.65</v>
      </c>
      <c r="T47" s="5">
        <v>7.824</v>
      </c>
      <c r="U47" s="5">
        <v>7.824</v>
      </c>
      <c r="V47" s="5">
        <v>11.27</v>
      </c>
      <c r="W47" s="5">
        <v>11.27</v>
      </c>
      <c r="X47" s="4">
        <v>899.65</v>
      </c>
    </row>
    <row r="48" ht="14.5" customHeight="1" spans="2:24">
      <c r="B48" s="6" t="str">
        <f t="shared" si="0"/>
        <v>43115-DT1EJ20250101-A-JIEU8015558-PARTS</v>
      </c>
      <c r="C48" t="s">
        <v>80</v>
      </c>
      <c r="D48" t="s">
        <v>81</v>
      </c>
      <c r="E48" t="s">
        <v>82</v>
      </c>
      <c r="F48" t="s">
        <v>83</v>
      </c>
      <c r="G48" s="1" t="s">
        <v>84</v>
      </c>
      <c r="I48" s="1" t="s">
        <v>85</v>
      </c>
      <c r="J48" s="1" t="s">
        <v>86</v>
      </c>
      <c r="K48" s="1" t="s">
        <v>90</v>
      </c>
      <c r="L48">
        <v>8708299009</v>
      </c>
      <c r="M48" s="2" t="s">
        <v>91</v>
      </c>
      <c r="N48" s="3" t="s">
        <v>92</v>
      </c>
      <c r="O48" s="1">
        <v>1</v>
      </c>
      <c r="P48" s="4">
        <v>20</v>
      </c>
      <c r="Q48" s="4">
        <v>1.6</v>
      </c>
      <c r="R48" s="4">
        <v>0.05</v>
      </c>
      <c r="S48" s="4">
        <v>21.65</v>
      </c>
      <c r="T48" s="5">
        <v>0.633</v>
      </c>
      <c r="U48" s="5">
        <v>0.633</v>
      </c>
      <c r="V48" s="5">
        <v>0.91</v>
      </c>
      <c r="W48" s="5">
        <v>0.91</v>
      </c>
      <c r="X48" s="4">
        <v>21.65</v>
      </c>
    </row>
    <row r="49" ht="14.5" customHeight="1" spans="2:28">
      <c r="B49" s="6" t="str">
        <f t="shared" si="0"/>
        <v>43115-DT1EJ20250101-A-JIEU8015558-PARTS</v>
      </c>
      <c r="C49" t="s">
        <v>80</v>
      </c>
      <c r="D49" t="s">
        <v>81</v>
      </c>
      <c r="E49" t="s">
        <v>82</v>
      </c>
      <c r="F49" t="s">
        <v>83</v>
      </c>
      <c r="G49" s="1" t="s">
        <v>84</v>
      </c>
      <c r="I49" s="1" t="s">
        <v>85</v>
      </c>
      <c r="J49" s="1" t="s">
        <v>86</v>
      </c>
      <c r="K49" s="1" t="s">
        <v>93</v>
      </c>
      <c r="L49">
        <v>8708299009</v>
      </c>
      <c r="M49" s="2" t="s">
        <v>94</v>
      </c>
      <c r="N49" s="3" t="s">
        <v>95</v>
      </c>
      <c r="O49" s="1">
        <v>1</v>
      </c>
      <c r="P49" s="4">
        <v>19.64</v>
      </c>
      <c r="Q49" s="4">
        <v>1.57</v>
      </c>
      <c r="R49" s="4">
        <v>0.05</v>
      </c>
      <c r="S49" s="4">
        <v>21.26</v>
      </c>
      <c r="T49" s="5">
        <v>0.622</v>
      </c>
      <c r="U49" s="5">
        <v>0.622</v>
      </c>
      <c r="V49" s="5">
        <v>0.9</v>
      </c>
      <c r="W49" s="5">
        <v>0.9</v>
      </c>
      <c r="X49" s="4">
        <v>21.26</v>
      </c>
    </row>
    <row r="50" ht="14.5" customHeight="1" spans="2:28">
      <c r="B50" s="6" t="str">
        <f t="shared" si="0"/>
        <v>43115-DT1EJ20250101-A-JIEU8015558-PARTS</v>
      </c>
      <c r="C50" t="s">
        <v>80</v>
      </c>
      <c r="D50" t="s">
        <v>81</v>
      </c>
      <c r="E50" t="s">
        <v>82</v>
      </c>
      <c r="F50" t="s">
        <v>83</v>
      </c>
      <c r="G50" s="1" t="s">
        <v>84</v>
      </c>
      <c r="I50" s="1" t="s">
        <v>85</v>
      </c>
      <c r="J50" s="1" t="s">
        <v>86</v>
      </c>
      <c r="K50" s="1" t="s">
        <v>87</v>
      </c>
      <c r="L50">
        <v>8708999709</v>
      </c>
      <c r="M50" s="2" t="s">
        <v>88</v>
      </c>
      <c r="N50" s="3" t="s">
        <v>89</v>
      </c>
      <c r="O50" s="1">
        <v>1</v>
      </c>
      <c r="P50" s="4">
        <v>831.11</v>
      </c>
      <c r="Q50" s="4">
        <v>66.62</v>
      </c>
      <c r="R50" s="4">
        <v>1.92</v>
      </c>
      <c r="S50" s="4">
        <v>899.65</v>
      </c>
      <c r="T50" s="5">
        <v>7.824</v>
      </c>
      <c r="U50" s="5">
        <v>7.824</v>
      </c>
      <c r="V50" s="5">
        <v>11.27</v>
      </c>
      <c r="W50" s="5">
        <v>11.27</v>
      </c>
      <c r="X50" s="4">
        <v>899.65</v>
      </c>
    </row>
    <row r="51" ht="14.5" customHeight="1" spans="2:28">
      <c r="B51" s="6" t="str">
        <f t="shared" si="0"/>
        <v>43115-DT1EJ20250101-A-JIEU8015558-PARTS</v>
      </c>
      <c r="C51" t="s">
        <v>80</v>
      </c>
      <c r="D51" t="s">
        <v>81</v>
      </c>
      <c r="E51" t="s">
        <v>82</v>
      </c>
      <c r="F51" t="s">
        <v>83</v>
      </c>
      <c r="G51" s="1" t="s">
        <v>84</v>
      </c>
      <c r="I51" s="1" t="s">
        <v>85</v>
      </c>
      <c r="J51" s="1" t="s">
        <v>86</v>
      </c>
      <c r="K51" s="1" t="s">
        <v>90</v>
      </c>
      <c r="L51">
        <v>8708299009</v>
      </c>
      <c r="M51" s="2" t="s">
        <v>91</v>
      </c>
      <c r="N51" s="3" t="s">
        <v>92</v>
      </c>
      <c r="O51" s="1">
        <v>1</v>
      </c>
      <c r="P51" s="4">
        <v>20</v>
      </c>
      <c r="Q51" s="4">
        <v>1.6</v>
      </c>
      <c r="R51" s="4">
        <v>0.05</v>
      </c>
      <c r="S51" s="4">
        <v>21.65</v>
      </c>
      <c r="T51" s="5">
        <v>0.633</v>
      </c>
      <c r="U51" s="5">
        <v>0.633</v>
      </c>
      <c r="V51" s="5">
        <v>0.91</v>
      </c>
      <c r="W51" s="5">
        <v>0.91</v>
      </c>
      <c r="X51" s="4">
        <v>21.65</v>
      </c>
    </row>
    <row r="52" ht="14.5" customHeight="1" spans="2:28">
      <c r="B52" s="6" t="str">
        <f t="shared" si="0"/>
        <v>43115-DT1EJ20250101-A-JIEU8015558-PARTS</v>
      </c>
      <c r="C52" t="s">
        <v>80</v>
      </c>
      <c r="D52" t="s">
        <v>81</v>
      </c>
      <c r="E52" t="s">
        <v>82</v>
      </c>
      <c r="F52" t="s">
        <v>83</v>
      </c>
      <c r="G52" s="1" t="s">
        <v>84</v>
      </c>
      <c r="I52" s="1" t="s">
        <v>85</v>
      </c>
      <c r="J52" s="1" t="s">
        <v>86</v>
      </c>
      <c r="K52" s="1" t="s">
        <v>93</v>
      </c>
      <c r="L52">
        <v>8708299009</v>
      </c>
      <c r="M52" s="2" t="s">
        <v>94</v>
      </c>
      <c r="N52" s="3" t="s">
        <v>95</v>
      </c>
      <c r="O52" s="1">
        <v>1</v>
      </c>
      <c r="P52" s="4">
        <v>19.64</v>
      </c>
      <c r="Q52" s="4">
        <v>1.57</v>
      </c>
      <c r="R52" s="4">
        <v>0.05</v>
      </c>
      <c r="S52" s="4">
        <v>21.26</v>
      </c>
      <c r="T52" s="5">
        <v>0.622</v>
      </c>
      <c r="U52" s="5">
        <v>0.622</v>
      </c>
      <c r="V52" s="5">
        <v>0.9</v>
      </c>
      <c r="W52" s="5">
        <v>0.9</v>
      </c>
      <c r="X52" s="4">
        <v>21.26</v>
      </c>
    </row>
    <row r="53" ht="14.5" customHeight="1" spans="2:28">
      <c r="B53" s="6" t="str">
        <f t="shared" si="0"/>
        <v>43115-DT1EJ20250101-A-JIEU8015558-PARTS</v>
      </c>
      <c r="C53" t="s">
        <v>80</v>
      </c>
      <c r="D53" t="s">
        <v>81</v>
      </c>
      <c r="E53" t="s">
        <v>82</v>
      </c>
      <c r="F53" t="s">
        <v>83</v>
      </c>
      <c r="G53" s="1" t="s">
        <v>84</v>
      </c>
      <c r="I53" s="1" t="s">
        <v>85</v>
      </c>
      <c r="J53" s="1" t="s">
        <v>86</v>
      </c>
      <c r="K53" s="1" t="s">
        <v>87</v>
      </c>
      <c r="L53">
        <v>8708999709</v>
      </c>
      <c r="M53" s="2" t="s">
        <v>88</v>
      </c>
      <c r="N53" s="3" t="s">
        <v>89</v>
      </c>
      <c r="O53" s="1">
        <v>1</v>
      </c>
      <c r="P53" s="4">
        <v>831.11</v>
      </c>
      <c r="Q53" s="4">
        <v>66.62</v>
      </c>
      <c r="R53" s="4">
        <v>1.92</v>
      </c>
      <c r="S53" s="4">
        <v>899.65</v>
      </c>
      <c r="T53" s="5">
        <v>7.824</v>
      </c>
      <c r="U53" s="5">
        <v>7.824</v>
      </c>
      <c r="V53" s="5">
        <v>11.27</v>
      </c>
      <c r="W53" s="5">
        <v>11.27</v>
      </c>
      <c r="X53" s="4">
        <v>899.65</v>
      </c>
    </row>
    <row r="54" ht="14.5" customHeight="1" spans="2:28">
      <c r="B54" s="6" t="str">
        <f t="shared" si="0"/>
        <v>43115-DT1EJ20250101-A-JIEU8015558-PARTS</v>
      </c>
      <c r="C54" t="s">
        <v>80</v>
      </c>
      <c r="D54" t="s">
        <v>81</v>
      </c>
      <c r="E54" t="s">
        <v>82</v>
      </c>
      <c r="F54" t="s">
        <v>83</v>
      </c>
      <c r="G54" s="1" t="s">
        <v>84</v>
      </c>
      <c r="I54" s="1" t="s">
        <v>85</v>
      </c>
      <c r="J54" s="1" t="s">
        <v>86</v>
      </c>
      <c r="K54" s="1" t="s">
        <v>90</v>
      </c>
      <c r="L54">
        <v>8708299009</v>
      </c>
      <c r="M54" s="2" t="s">
        <v>91</v>
      </c>
      <c r="N54" s="3" t="s">
        <v>92</v>
      </c>
      <c r="O54" s="1">
        <v>1</v>
      </c>
      <c r="P54" s="4">
        <v>20</v>
      </c>
      <c r="Q54" s="4">
        <v>1.6</v>
      </c>
      <c r="R54" s="4">
        <v>0.05</v>
      </c>
      <c r="S54" s="4">
        <v>21.65</v>
      </c>
      <c r="T54" s="5">
        <v>0.633</v>
      </c>
      <c r="U54" s="5">
        <v>0.633</v>
      </c>
      <c r="V54" s="5">
        <v>0.91</v>
      </c>
      <c r="W54" s="5">
        <v>0.91</v>
      </c>
      <c r="X54" s="4">
        <v>21.65</v>
      </c>
    </row>
    <row r="55" ht="14.5" customHeight="1" spans="2:28">
      <c r="B55" s="6" t="str">
        <f t="shared" si="0"/>
        <v>43115-DT1EJ20250101-A-JIEU8015558-PARTS</v>
      </c>
      <c r="C55" t="s">
        <v>80</v>
      </c>
      <c r="D55" t="s">
        <v>81</v>
      </c>
      <c r="E55" t="s">
        <v>82</v>
      </c>
      <c r="F55" t="s">
        <v>83</v>
      </c>
      <c r="G55" s="1" t="s">
        <v>84</v>
      </c>
      <c r="I55" s="1" t="s">
        <v>85</v>
      </c>
      <c r="J55" s="1" t="s">
        <v>86</v>
      </c>
      <c r="K55" s="1" t="s">
        <v>93</v>
      </c>
      <c r="L55">
        <v>8708299009</v>
      </c>
      <c r="M55" s="2" t="s">
        <v>94</v>
      </c>
      <c r="N55" s="3" t="s">
        <v>95</v>
      </c>
      <c r="O55" s="1">
        <v>1</v>
      </c>
      <c r="P55" s="4">
        <v>19.64</v>
      </c>
      <c r="Q55" s="4">
        <v>1.57</v>
      </c>
      <c r="R55" s="4">
        <v>0.05</v>
      </c>
      <c r="S55" s="4">
        <v>21.26</v>
      </c>
      <c r="T55" s="5">
        <v>0.622</v>
      </c>
      <c r="U55" s="5">
        <v>0.622</v>
      </c>
      <c r="V55" s="5">
        <v>0.9</v>
      </c>
      <c r="W55" s="5">
        <v>0.9</v>
      </c>
      <c r="X55" s="4">
        <v>21.26</v>
      </c>
    </row>
    <row r="56" ht="14.5" customHeight="1" spans="2:28">
      <c r="B56" s="6" t="str">
        <f t="shared" si="0"/>
        <v>43115-DT1EJ20250101-A-JIEU8015558-PARTS</v>
      </c>
      <c r="C56" s="29" t="s">
        <v>80</v>
      </c>
      <c r="D56" s="30" t="s">
        <v>81</v>
      </c>
      <c r="E56" s="30" t="s">
        <v>82</v>
      </c>
      <c r="F56" s="30" t="s">
        <v>83</v>
      </c>
      <c r="G56" s="31" t="s">
        <v>84</v>
      </c>
      <c r="H56" s="31"/>
      <c r="I56" s="31" t="s">
        <v>85</v>
      </c>
      <c r="J56" s="31" t="s">
        <v>86</v>
      </c>
      <c r="K56" s="31" t="s">
        <v>87</v>
      </c>
      <c r="L56" s="31">
        <v>8708999709</v>
      </c>
      <c r="M56" s="32" t="s">
        <v>88</v>
      </c>
      <c r="N56" s="33" t="s">
        <v>89</v>
      </c>
      <c r="O56" s="31">
        <v>1</v>
      </c>
      <c r="P56" s="34">
        <v>831.11</v>
      </c>
      <c r="Q56" s="34">
        <v>66.62</v>
      </c>
      <c r="R56" s="34">
        <v>1.92</v>
      </c>
      <c r="S56" s="34">
        <v>899.65</v>
      </c>
      <c r="T56" s="35">
        <v>7.824</v>
      </c>
      <c r="U56" s="35">
        <v>7.824</v>
      </c>
      <c r="V56" s="35">
        <v>11.27</v>
      </c>
      <c r="W56" s="35">
        <v>11.27</v>
      </c>
      <c r="X56" s="34">
        <v>899.65</v>
      </c>
      <c r="Y56" s="31"/>
      <c r="Z56" s="31"/>
      <c r="AA56" s="31"/>
      <c r="AB56" s="31"/>
    </row>
    <row r="57" ht="14.5" customHeight="1" spans="2:28">
      <c r="B57" s="6" t="str">
        <f t="shared" si="0"/>
        <v>43115-DT1EJ20250101-A-JIEU8015558-PARTS</v>
      </c>
      <c r="C57" s="29" t="s">
        <v>80</v>
      </c>
      <c r="D57" s="30" t="s">
        <v>81</v>
      </c>
      <c r="E57" s="30" t="s">
        <v>82</v>
      </c>
      <c r="F57" s="30" t="s">
        <v>83</v>
      </c>
      <c r="G57" s="31" t="s">
        <v>84</v>
      </c>
      <c r="H57" s="31"/>
      <c r="I57" s="31" t="s">
        <v>85</v>
      </c>
      <c r="J57" s="31" t="s">
        <v>86</v>
      </c>
      <c r="K57" s="31" t="s">
        <v>90</v>
      </c>
      <c r="L57" s="31">
        <v>8708299009</v>
      </c>
      <c r="M57" s="32" t="s">
        <v>91</v>
      </c>
      <c r="N57" s="33" t="s">
        <v>92</v>
      </c>
      <c r="O57" s="31">
        <v>1</v>
      </c>
      <c r="P57" s="34">
        <v>20</v>
      </c>
      <c r="Q57" s="34">
        <v>1.6</v>
      </c>
      <c r="R57" s="34">
        <v>0.05</v>
      </c>
      <c r="S57" s="34">
        <v>21.65</v>
      </c>
      <c r="T57" s="35">
        <v>0.633</v>
      </c>
      <c r="U57" s="35">
        <v>0.633</v>
      </c>
      <c r="V57" s="35">
        <v>0.91</v>
      </c>
      <c r="W57" s="35">
        <v>0.91</v>
      </c>
      <c r="X57" s="34">
        <v>21.65</v>
      </c>
      <c r="Y57" s="31"/>
      <c r="Z57" s="31"/>
      <c r="AA57" s="31"/>
      <c r="AB57" s="31"/>
    </row>
    <row r="58" ht="14.5" customHeight="1" spans="2:28">
      <c r="B58" s="6" t="str">
        <f t="shared" si="0"/>
        <v>43115-DT1EJ20250101-A-JIEU8015558-PARTS</v>
      </c>
      <c r="C58" s="29" t="s">
        <v>80</v>
      </c>
      <c r="D58" s="30" t="s">
        <v>81</v>
      </c>
      <c r="E58" s="30" t="s">
        <v>82</v>
      </c>
      <c r="F58" s="30" t="s">
        <v>83</v>
      </c>
      <c r="G58" s="31" t="s">
        <v>84</v>
      </c>
      <c r="H58" s="31"/>
      <c r="I58" s="31" t="s">
        <v>85</v>
      </c>
      <c r="J58" s="31" t="s">
        <v>86</v>
      </c>
      <c r="K58" s="31" t="s">
        <v>93</v>
      </c>
      <c r="L58" s="31">
        <v>8708299009</v>
      </c>
      <c r="M58" s="32" t="s">
        <v>94</v>
      </c>
      <c r="N58" s="33" t="s">
        <v>95</v>
      </c>
      <c r="O58" s="31">
        <v>1</v>
      </c>
      <c r="P58" s="34">
        <v>19.64</v>
      </c>
      <c r="Q58" s="34">
        <v>1.57</v>
      </c>
      <c r="R58" s="34">
        <v>0.05</v>
      </c>
      <c r="S58" s="34">
        <v>21.26</v>
      </c>
      <c r="T58" s="35">
        <v>0.622</v>
      </c>
      <c r="U58" s="35">
        <v>0.622</v>
      </c>
      <c r="V58" s="35">
        <v>0.9</v>
      </c>
      <c r="W58" s="35">
        <v>0.9</v>
      </c>
      <c r="X58" s="34">
        <v>21.26</v>
      </c>
      <c r="Y58" s="31"/>
      <c r="Z58" s="31"/>
      <c r="AA58" s="31"/>
      <c r="AB58" s="31"/>
    </row>
    <row r="59" ht="14.5" customHeight="1" spans="2:28">
      <c r="B59" s="6" t="str">
        <f t="shared" si="0"/>
        <v>43115-DT1EJ20250101-A-JIEU8015558-PARTS</v>
      </c>
      <c r="C59" s="29" t="s">
        <v>80</v>
      </c>
      <c r="D59" s="30" t="s">
        <v>81</v>
      </c>
      <c r="E59" s="30" t="s">
        <v>82</v>
      </c>
      <c r="F59" s="30" t="s">
        <v>83</v>
      </c>
      <c r="G59" s="31" t="s">
        <v>84</v>
      </c>
      <c r="H59" s="31"/>
      <c r="I59" s="31" t="s">
        <v>85</v>
      </c>
      <c r="J59" s="31" t="s">
        <v>86</v>
      </c>
      <c r="K59" s="31" t="s">
        <v>87</v>
      </c>
      <c r="L59" s="31">
        <v>8708999709</v>
      </c>
      <c r="M59" s="32" t="s">
        <v>88</v>
      </c>
      <c r="N59" s="33" t="s">
        <v>89</v>
      </c>
      <c r="O59" s="31">
        <v>1</v>
      </c>
      <c r="P59" s="34">
        <v>831.11</v>
      </c>
      <c r="Q59" s="34">
        <v>66.62</v>
      </c>
      <c r="R59" s="34">
        <v>1.92</v>
      </c>
      <c r="S59" s="34">
        <v>899.65</v>
      </c>
      <c r="T59" s="35">
        <v>7.824</v>
      </c>
      <c r="U59" s="35">
        <v>7.824</v>
      </c>
      <c r="V59" s="35">
        <v>11.27</v>
      </c>
      <c r="W59" s="35">
        <v>11.27</v>
      </c>
      <c r="X59" s="34">
        <v>899.65</v>
      </c>
      <c r="Y59" s="31"/>
      <c r="Z59" s="31"/>
      <c r="AA59" s="31"/>
      <c r="AB59" s="31"/>
    </row>
    <row r="60" ht="14.5" customHeight="1" spans="2:28">
      <c r="B60" s="6" t="str">
        <f t="shared" si="0"/>
        <v>43115-DT1EJ20250101-A-JIEU8015558-PARTS</v>
      </c>
      <c r="C60" s="29" t="s">
        <v>80</v>
      </c>
      <c r="D60" s="30" t="s">
        <v>81</v>
      </c>
      <c r="E60" s="30" t="s">
        <v>82</v>
      </c>
      <c r="F60" s="30" t="s">
        <v>83</v>
      </c>
      <c r="G60" s="31" t="s">
        <v>84</v>
      </c>
      <c r="H60" s="31"/>
      <c r="I60" s="31" t="s">
        <v>85</v>
      </c>
      <c r="J60" s="31" t="s">
        <v>86</v>
      </c>
      <c r="K60" s="31" t="s">
        <v>90</v>
      </c>
      <c r="L60" s="31">
        <v>8708299009</v>
      </c>
      <c r="M60" s="32" t="s">
        <v>91</v>
      </c>
      <c r="N60" s="33" t="s">
        <v>92</v>
      </c>
      <c r="O60" s="31">
        <v>1</v>
      </c>
      <c r="P60" s="34">
        <v>20</v>
      </c>
      <c r="Q60" s="34">
        <v>1.6</v>
      </c>
      <c r="R60" s="34">
        <v>0.05</v>
      </c>
      <c r="S60" s="34">
        <v>21.65</v>
      </c>
      <c r="T60" s="35">
        <v>0.633</v>
      </c>
      <c r="U60" s="35">
        <v>0.633</v>
      </c>
      <c r="V60" s="35">
        <v>0.91</v>
      </c>
      <c r="W60" s="35">
        <v>0.91</v>
      </c>
      <c r="X60" s="34">
        <v>21.65</v>
      </c>
      <c r="Y60" s="31"/>
      <c r="Z60" s="31"/>
      <c r="AA60" s="31"/>
      <c r="AB60" s="31"/>
    </row>
    <row r="61" ht="14.5" customHeight="1" spans="2:28">
      <c r="B61" s="6" t="str">
        <f t="shared" si="0"/>
        <v>43115-DT1EJ20250101-A-JIEU8015558-PARTS</v>
      </c>
      <c r="C61" s="29" t="s">
        <v>80</v>
      </c>
      <c r="D61" s="30" t="s">
        <v>81</v>
      </c>
      <c r="E61" s="30" t="s">
        <v>82</v>
      </c>
      <c r="F61" s="30" t="s">
        <v>83</v>
      </c>
      <c r="G61" s="31" t="s">
        <v>84</v>
      </c>
      <c r="H61" s="31"/>
      <c r="I61" s="31" t="s">
        <v>85</v>
      </c>
      <c r="J61" s="31" t="s">
        <v>86</v>
      </c>
      <c r="K61" s="31" t="s">
        <v>93</v>
      </c>
      <c r="L61" s="31">
        <v>8708299009</v>
      </c>
      <c r="M61" s="32" t="s">
        <v>94</v>
      </c>
      <c r="N61" s="33" t="s">
        <v>95</v>
      </c>
      <c r="O61" s="31">
        <v>1</v>
      </c>
      <c r="P61" s="34">
        <v>19.64</v>
      </c>
      <c r="Q61" s="34">
        <v>1.57</v>
      </c>
      <c r="R61" s="34">
        <v>0.05</v>
      </c>
      <c r="S61" s="34">
        <v>21.26</v>
      </c>
      <c r="T61" s="35">
        <v>0.622</v>
      </c>
      <c r="U61" s="35">
        <v>0.622</v>
      </c>
      <c r="V61" s="35">
        <v>0.9</v>
      </c>
      <c r="W61" s="35">
        <v>0.9</v>
      </c>
      <c r="X61" s="34">
        <v>21.26</v>
      </c>
      <c r="Y61" s="31"/>
      <c r="Z61" s="31"/>
      <c r="AA61" s="31"/>
      <c r="AB61" s="31"/>
    </row>
    <row r="62" ht="14.5" customHeight="1" spans="2:28">
      <c r="B62" s="6" t="str">
        <f t="shared" si="0"/>
        <v>43115-DT1EJ20250101-A-JIEU8015558-PARTS</v>
      </c>
      <c r="C62" s="29" t="s">
        <v>80</v>
      </c>
      <c r="D62" s="30" t="s">
        <v>81</v>
      </c>
      <c r="E62" s="30" t="s">
        <v>82</v>
      </c>
      <c r="F62" s="30" t="s">
        <v>83</v>
      </c>
      <c r="G62" s="31" t="s">
        <v>84</v>
      </c>
      <c r="H62" s="31"/>
      <c r="I62" s="31" t="s">
        <v>85</v>
      </c>
      <c r="J62" s="31" t="s">
        <v>86</v>
      </c>
      <c r="K62" s="31" t="s">
        <v>87</v>
      </c>
      <c r="L62" s="31">
        <v>8708999709</v>
      </c>
      <c r="M62" s="32" t="s">
        <v>88</v>
      </c>
      <c r="N62" s="33" t="s">
        <v>89</v>
      </c>
      <c r="O62" s="31">
        <v>1</v>
      </c>
      <c r="P62" s="34">
        <v>831.11</v>
      </c>
      <c r="Q62" s="34">
        <v>66.62</v>
      </c>
      <c r="R62" s="34">
        <v>1.92</v>
      </c>
      <c r="S62" s="34">
        <v>899.65</v>
      </c>
      <c r="T62" s="35">
        <v>7.824</v>
      </c>
      <c r="U62" s="35">
        <v>7.824</v>
      </c>
      <c r="V62" s="35">
        <v>11.27</v>
      </c>
      <c r="W62" s="35">
        <v>11.27</v>
      </c>
      <c r="X62" s="34">
        <v>899.65</v>
      </c>
      <c r="Y62" s="31"/>
      <c r="Z62" s="31"/>
      <c r="AA62" s="31"/>
      <c r="AB62" s="31"/>
    </row>
    <row r="63" ht="14.5" customHeight="1" spans="2:28">
      <c r="B63" s="6" t="str">
        <f t="shared" si="0"/>
        <v>43115-DT1EJ20250101-A-JIEU8015558-PARTS</v>
      </c>
      <c r="C63" s="29" t="s">
        <v>80</v>
      </c>
      <c r="D63" s="30" t="s">
        <v>81</v>
      </c>
      <c r="E63" s="30" t="s">
        <v>82</v>
      </c>
      <c r="F63" s="30" t="s">
        <v>83</v>
      </c>
      <c r="G63" s="31" t="s">
        <v>84</v>
      </c>
      <c r="H63" s="31"/>
      <c r="I63" s="31" t="s">
        <v>85</v>
      </c>
      <c r="J63" s="31" t="s">
        <v>86</v>
      </c>
      <c r="K63" s="31" t="s">
        <v>90</v>
      </c>
      <c r="L63" s="31">
        <v>8708299009</v>
      </c>
      <c r="M63" s="32" t="s">
        <v>91</v>
      </c>
      <c r="N63" s="33" t="s">
        <v>92</v>
      </c>
      <c r="O63" s="31">
        <v>1</v>
      </c>
      <c r="P63" s="34">
        <v>20</v>
      </c>
      <c r="Q63" s="34">
        <v>1.6</v>
      </c>
      <c r="R63" s="34">
        <v>0.05</v>
      </c>
      <c r="S63" s="34">
        <v>21.65</v>
      </c>
      <c r="T63" s="35">
        <v>0.633</v>
      </c>
      <c r="U63" s="35">
        <v>0.633</v>
      </c>
      <c r="V63" s="35">
        <v>0.91</v>
      </c>
      <c r="W63" s="35">
        <v>0.91</v>
      </c>
      <c r="X63" s="34">
        <v>21.65</v>
      </c>
      <c r="Y63" s="31"/>
      <c r="Z63" s="31"/>
      <c r="AA63" s="31"/>
      <c r="AB63" s="31"/>
    </row>
    <row r="64" ht="14.5" customHeight="1" spans="2:28">
      <c r="B64" s="6" t="str">
        <f t="shared" si="0"/>
        <v>43115-DT1EJ20250101-A-JIEU8015558-PARTS</v>
      </c>
      <c r="C64" t="s">
        <v>80</v>
      </c>
      <c r="D64" t="s">
        <v>81</v>
      </c>
      <c r="E64" t="s">
        <v>82</v>
      </c>
      <c r="F64" t="s">
        <v>83</v>
      </c>
      <c r="G64" s="1" t="s">
        <v>84</v>
      </c>
      <c r="I64" s="1" t="s">
        <v>85</v>
      </c>
      <c r="J64" s="1" t="s">
        <v>86</v>
      </c>
      <c r="K64" s="1" t="s">
        <v>93</v>
      </c>
      <c r="L64">
        <v>8708299009</v>
      </c>
      <c r="M64" s="2" t="s">
        <v>94</v>
      </c>
      <c r="N64" s="3" t="s">
        <v>95</v>
      </c>
      <c r="O64" s="1">
        <v>1</v>
      </c>
      <c r="P64" s="4">
        <v>19.64</v>
      </c>
      <c r="Q64" s="4">
        <v>1.57</v>
      </c>
      <c r="R64" s="4">
        <v>0.05</v>
      </c>
      <c r="S64" s="4">
        <v>21.26</v>
      </c>
      <c r="T64" s="5">
        <v>0.622</v>
      </c>
      <c r="U64" s="5">
        <v>0.622</v>
      </c>
      <c r="V64" s="5">
        <v>0.9</v>
      </c>
      <c r="W64" s="5">
        <v>0.9</v>
      </c>
      <c r="X64" s="4">
        <v>21.26</v>
      </c>
    </row>
    <row r="65" ht="14.5" customHeight="1" spans="2:28">
      <c r="B65" s="6" t="str">
        <f t="shared" si="0"/>
        <v>43115-DT1EJ20250101-A-JIEU8015558-PARTS</v>
      </c>
      <c r="C65" t="s">
        <v>80</v>
      </c>
      <c r="D65" t="s">
        <v>81</v>
      </c>
      <c r="E65" t="s">
        <v>82</v>
      </c>
      <c r="F65" t="s">
        <v>83</v>
      </c>
      <c r="G65" s="1" t="s">
        <v>84</v>
      </c>
      <c r="I65" s="1" t="s">
        <v>85</v>
      </c>
      <c r="J65" s="1" t="s">
        <v>86</v>
      </c>
      <c r="K65" s="1" t="s">
        <v>87</v>
      </c>
      <c r="L65">
        <v>8708999709</v>
      </c>
      <c r="M65" s="2" t="s">
        <v>88</v>
      </c>
      <c r="N65" s="3" t="s">
        <v>89</v>
      </c>
      <c r="O65" s="1">
        <v>1</v>
      </c>
      <c r="P65" s="4">
        <v>831.11</v>
      </c>
      <c r="Q65" s="4">
        <v>66.62</v>
      </c>
      <c r="R65" s="4">
        <v>1.92</v>
      </c>
      <c r="S65" s="4">
        <v>899.65</v>
      </c>
      <c r="T65" s="5">
        <v>7.824</v>
      </c>
      <c r="U65" s="5">
        <v>7.824</v>
      </c>
      <c r="V65" s="5">
        <v>11.27</v>
      </c>
      <c r="W65" s="5">
        <v>11.27</v>
      </c>
      <c r="X65" s="4">
        <v>899.65</v>
      </c>
    </row>
    <row r="66" ht="14.5" customHeight="1" spans="2:28">
      <c r="B66" s="6" t="str">
        <f t="shared" ref="B66:B129" si="1">CONCATENATE(C66,"-",E66,"-",G66)</f>
        <v>43115-DT1EJ20250101-A-JIEU8015558-PARTS</v>
      </c>
      <c r="C66" t="s">
        <v>80</v>
      </c>
      <c r="D66" t="s">
        <v>81</v>
      </c>
      <c r="E66" t="s">
        <v>82</v>
      </c>
      <c r="F66" t="s">
        <v>83</v>
      </c>
      <c r="G66" s="1" t="s">
        <v>84</v>
      </c>
      <c r="I66" s="1" t="s">
        <v>85</v>
      </c>
      <c r="J66" s="1" t="s">
        <v>86</v>
      </c>
      <c r="K66" s="1" t="s">
        <v>90</v>
      </c>
      <c r="L66">
        <v>8708299009</v>
      </c>
      <c r="M66" s="2" t="s">
        <v>91</v>
      </c>
      <c r="N66" s="3" t="s">
        <v>92</v>
      </c>
      <c r="O66" s="1">
        <v>1</v>
      </c>
      <c r="P66" s="4">
        <v>20</v>
      </c>
      <c r="Q66" s="4">
        <v>1.6</v>
      </c>
      <c r="R66" s="4">
        <v>0.05</v>
      </c>
      <c r="S66" s="4">
        <v>21.65</v>
      </c>
      <c r="T66" s="5">
        <v>0.633</v>
      </c>
      <c r="U66" s="5">
        <v>0.633</v>
      </c>
      <c r="V66" s="5">
        <v>0.91</v>
      </c>
      <c r="W66" s="5">
        <v>0.91</v>
      </c>
      <c r="X66" s="4">
        <v>21.65</v>
      </c>
    </row>
    <row r="67" ht="14.5" customHeight="1" spans="2:28">
      <c r="B67" s="6" t="str">
        <f t="shared" si="1"/>
        <v>43115-DT1EJ20250101-A-JIEU8015558-PARTS</v>
      </c>
      <c r="C67" t="s">
        <v>80</v>
      </c>
      <c r="D67" t="s">
        <v>81</v>
      </c>
      <c r="E67" t="s">
        <v>82</v>
      </c>
      <c r="F67" t="s">
        <v>83</v>
      </c>
      <c r="G67" s="1" t="s">
        <v>84</v>
      </c>
      <c r="I67" s="1" t="s">
        <v>85</v>
      </c>
      <c r="J67" s="1" t="s">
        <v>86</v>
      </c>
      <c r="K67" s="1" t="s">
        <v>93</v>
      </c>
      <c r="L67">
        <v>8708299009</v>
      </c>
      <c r="M67" s="2" t="s">
        <v>94</v>
      </c>
      <c r="N67" s="3" t="s">
        <v>95</v>
      </c>
      <c r="O67" s="1">
        <v>1</v>
      </c>
      <c r="P67" s="4">
        <v>19.64</v>
      </c>
      <c r="Q67" s="4">
        <v>1.57</v>
      </c>
      <c r="R67" s="4">
        <v>0.05</v>
      </c>
      <c r="S67" s="4">
        <v>21.26</v>
      </c>
      <c r="T67" s="5">
        <v>0.622</v>
      </c>
      <c r="U67" s="5">
        <v>0.622</v>
      </c>
      <c r="V67" s="5">
        <v>0.9</v>
      </c>
      <c r="W67" s="5">
        <v>0.9</v>
      </c>
      <c r="X67" s="4">
        <v>21.26</v>
      </c>
    </row>
    <row r="68" ht="14.5" customHeight="1" spans="2:28">
      <c r="B68" s="6" t="str">
        <f t="shared" si="1"/>
        <v>43115-DT1EJ20250101-A-JIEU8015558-PARTS</v>
      </c>
      <c r="C68" t="s">
        <v>80</v>
      </c>
      <c r="D68" t="s">
        <v>81</v>
      </c>
      <c r="E68" t="s">
        <v>82</v>
      </c>
      <c r="F68" t="s">
        <v>83</v>
      </c>
      <c r="G68" s="1" t="s">
        <v>84</v>
      </c>
      <c r="I68" s="1" t="s">
        <v>85</v>
      </c>
      <c r="J68" s="1" t="s">
        <v>86</v>
      </c>
      <c r="K68" s="1" t="s">
        <v>87</v>
      </c>
      <c r="L68">
        <v>8708999709</v>
      </c>
      <c r="M68" s="2" t="s">
        <v>88</v>
      </c>
      <c r="N68" s="3" t="s">
        <v>89</v>
      </c>
      <c r="O68" s="1">
        <v>1</v>
      </c>
      <c r="P68" s="4">
        <v>831.11</v>
      </c>
      <c r="Q68" s="4">
        <v>66.62</v>
      </c>
      <c r="R68" s="4">
        <v>1.92</v>
      </c>
      <c r="S68" s="4">
        <v>899.65</v>
      </c>
      <c r="T68" s="5">
        <v>7.824</v>
      </c>
      <c r="U68" s="5">
        <v>7.824</v>
      </c>
      <c r="V68" s="5">
        <v>11.27</v>
      </c>
      <c r="W68" s="5">
        <v>11.27</v>
      </c>
      <c r="X68" s="4">
        <v>899.65</v>
      </c>
    </row>
    <row r="69" ht="14.5" customHeight="1" spans="2:28">
      <c r="B69" s="6" t="str">
        <f t="shared" si="1"/>
        <v>43115-DT1EJ20250101-A-JIEU8015558-PARTS</v>
      </c>
      <c r="C69" t="s">
        <v>80</v>
      </c>
      <c r="D69" t="s">
        <v>81</v>
      </c>
      <c r="E69" t="s">
        <v>82</v>
      </c>
      <c r="F69" t="s">
        <v>83</v>
      </c>
      <c r="G69" s="1" t="s">
        <v>84</v>
      </c>
      <c r="I69" s="1" t="s">
        <v>85</v>
      </c>
      <c r="J69" s="1" t="s">
        <v>86</v>
      </c>
      <c r="K69" s="1" t="s">
        <v>90</v>
      </c>
      <c r="L69">
        <v>8708299009</v>
      </c>
      <c r="M69" s="2" t="s">
        <v>91</v>
      </c>
      <c r="N69" s="3" t="s">
        <v>92</v>
      </c>
      <c r="O69" s="1">
        <v>1</v>
      </c>
      <c r="P69" s="4">
        <v>20</v>
      </c>
      <c r="Q69" s="4">
        <v>1.6</v>
      </c>
      <c r="R69" s="4">
        <v>0.05</v>
      </c>
      <c r="S69" s="4">
        <v>21.65</v>
      </c>
      <c r="T69" s="5">
        <v>0.633</v>
      </c>
      <c r="U69" s="5">
        <v>0.633</v>
      </c>
      <c r="V69" s="5">
        <v>0.91</v>
      </c>
      <c r="W69" s="5">
        <v>0.91</v>
      </c>
      <c r="X69" s="4">
        <v>21.65</v>
      </c>
    </row>
    <row r="70" ht="14.5" customHeight="1" spans="2:28">
      <c r="B70" s="6" t="str">
        <f t="shared" si="1"/>
        <v>43115-DT1EJ20250101-A-JIEU8015558-PARTS</v>
      </c>
      <c r="C70" s="29" t="s">
        <v>80</v>
      </c>
      <c r="D70" s="30" t="s">
        <v>81</v>
      </c>
      <c r="E70" s="30" t="s">
        <v>82</v>
      </c>
      <c r="F70" s="30" t="s">
        <v>83</v>
      </c>
      <c r="G70" s="31" t="s">
        <v>84</v>
      </c>
      <c r="H70" s="31"/>
      <c r="I70" s="31" t="s">
        <v>85</v>
      </c>
      <c r="J70" s="31" t="s">
        <v>86</v>
      </c>
      <c r="K70" s="31" t="s">
        <v>93</v>
      </c>
      <c r="L70" s="31">
        <v>8708299009</v>
      </c>
      <c r="M70" s="32" t="s">
        <v>94</v>
      </c>
      <c r="N70" s="33" t="s">
        <v>95</v>
      </c>
      <c r="O70" s="31">
        <v>1</v>
      </c>
      <c r="P70" s="34">
        <v>19.64</v>
      </c>
      <c r="Q70" s="34">
        <v>1.57</v>
      </c>
      <c r="R70" s="34">
        <v>0.05</v>
      </c>
      <c r="S70" s="34">
        <v>21.26</v>
      </c>
      <c r="T70" s="35">
        <v>0.622</v>
      </c>
      <c r="U70" s="35">
        <v>0.622</v>
      </c>
      <c r="V70" s="35">
        <v>0.9</v>
      </c>
      <c r="W70" s="35">
        <v>0.9</v>
      </c>
      <c r="X70" s="34">
        <v>21.26</v>
      </c>
      <c r="Y70" s="31"/>
      <c r="Z70" s="31"/>
      <c r="AA70" s="31"/>
      <c r="AB70" s="31"/>
    </row>
    <row r="71" ht="14.5" customHeight="1" spans="2:28">
      <c r="B71" s="6" t="str">
        <f t="shared" si="1"/>
        <v>43115-DT1EJ20250101-A-JIEU8015558-PARTS</v>
      </c>
      <c r="C71" t="s">
        <v>80</v>
      </c>
      <c r="D71" t="s">
        <v>81</v>
      </c>
      <c r="E71" t="s">
        <v>82</v>
      </c>
      <c r="F71" t="s">
        <v>83</v>
      </c>
      <c r="G71" s="1" t="s">
        <v>84</v>
      </c>
      <c r="I71" s="1" t="s">
        <v>85</v>
      </c>
      <c r="J71" s="1" t="s">
        <v>86</v>
      </c>
      <c r="K71" s="1" t="s">
        <v>87</v>
      </c>
      <c r="L71">
        <v>8708999709</v>
      </c>
      <c r="M71" s="2" t="s">
        <v>88</v>
      </c>
      <c r="N71" s="3" t="s">
        <v>89</v>
      </c>
      <c r="O71" s="1">
        <v>1</v>
      </c>
      <c r="P71" s="4">
        <v>831.11</v>
      </c>
      <c r="Q71" s="4">
        <v>66.62</v>
      </c>
      <c r="R71" s="4">
        <v>1.92</v>
      </c>
      <c r="S71" s="4">
        <v>899.65</v>
      </c>
      <c r="T71" s="5">
        <v>7.824</v>
      </c>
      <c r="U71" s="5">
        <v>7.824</v>
      </c>
      <c r="V71" s="5">
        <v>11.27</v>
      </c>
      <c r="W71" s="5">
        <v>11.27</v>
      </c>
      <c r="X71" s="4">
        <v>899.65</v>
      </c>
    </row>
    <row r="72" ht="14.5" customHeight="1" spans="2:28">
      <c r="B72" s="6" t="str">
        <f t="shared" si="1"/>
        <v>43115-DT1EJ20250101-A-JIEU8015558-PARTS</v>
      </c>
      <c r="C72" s="29" t="s">
        <v>80</v>
      </c>
      <c r="D72" s="30" t="s">
        <v>81</v>
      </c>
      <c r="E72" s="30" t="s">
        <v>82</v>
      </c>
      <c r="F72" s="30" t="s">
        <v>83</v>
      </c>
      <c r="G72" s="31" t="s">
        <v>84</v>
      </c>
      <c r="H72" s="31"/>
      <c r="I72" s="31" t="s">
        <v>85</v>
      </c>
      <c r="J72" s="31" t="s">
        <v>86</v>
      </c>
      <c r="K72" s="31" t="s">
        <v>90</v>
      </c>
      <c r="L72" s="31">
        <v>8708299009</v>
      </c>
      <c r="M72" s="32" t="s">
        <v>91</v>
      </c>
      <c r="N72" s="33" t="s">
        <v>92</v>
      </c>
      <c r="O72" s="31">
        <v>1</v>
      </c>
      <c r="P72" s="34">
        <v>20</v>
      </c>
      <c r="Q72" s="34">
        <v>1.6</v>
      </c>
      <c r="R72" s="34">
        <v>0.05</v>
      </c>
      <c r="S72" s="34">
        <v>21.65</v>
      </c>
      <c r="T72" s="35">
        <v>0.633</v>
      </c>
      <c r="U72" s="35">
        <v>0.633</v>
      </c>
      <c r="V72" s="35">
        <v>0.91</v>
      </c>
      <c r="W72" s="35">
        <v>0.91</v>
      </c>
      <c r="X72" s="34">
        <v>21.65</v>
      </c>
      <c r="Y72" s="31"/>
      <c r="Z72" s="31"/>
      <c r="AA72" s="31"/>
      <c r="AB72" s="31"/>
    </row>
    <row r="73" ht="14.5" customHeight="1" spans="2:28">
      <c r="B73" s="6" t="str">
        <f t="shared" si="1"/>
        <v>43115-DT1EJ20250101-A-JIEU8015558-PARTS</v>
      </c>
      <c r="C73" s="29" t="s">
        <v>80</v>
      </c>
      <c r="D73" s="30" t="s">
        <v>81</v>
      </c>
      <c r="E73" s="30" t="s">
        <v>82</v>
      </c>
      <c r="F73" s="30" t="s">
        <v>83</v>
      </c>
      <c r="G73" s="31" t="s">
        <v>84</v>
      </c>
      <c r="H73" s="31"/>
      <c r="I73" s="31" t="s">
        <v>85</v>
      </c>
      <c r="J73" s="31" t="s">
        <v>86</v>
      </c>
      <c r="K73" s="31" t="s">
        <v>93</v>
      </c>
      <c r="L73" s="31">
        <v>8708299009</v>
      </c>
      <c r="M73" s="32" t="s">
        <v>94</v>
      </c>
      <c r="N73" s="33" t="s">
        <v>95</v>
      </c>
      <c r="O73" s="31">
        <v>1</v>
      </c>
      <c r="P73" s="34">
        <v>19.64</v>
      </c>
      <c r="Q73" s="34">
        <v>1.57</v>
      </c>
      <c r="R73" s="34">
        <v>0.05</v>
      </c>
      <c r="S73" s="34">
        <v>21.26</v>
      </c>
      <c r="T73" s="35">
        <v>0.622</v>
      </c>
      <c r="U73" s="35">
        <v>0.622</v>
      </c>
      <c r="V73" s="35">
        <v>0.9</v>
      </c>
      <c r="W73" s="35">
        <v>0.9</v>
      </c>
      <c r="X73" s="34">
        <v>21.26</v>
      </c>
      <c r="Y73" s="31"/>
      <c r="Z73" s="31"/>
      <c r="AA73" s="31"/>
      <c r="AB73" s="31"/>
    </row>
    <row r="74" ht="14.5" customHeight="1" spans="2:28">
      <c r="B74" s="6" t="str">
        <f t="shared" si="1"/>
        <v>43115-DT1EJ20250101-A-JIEU8015558-PARTS</v>
      </c>
      <c r="C74" t="s">
        <v>80</v>
      </c>
      <c r="D74" t="s">
        <v>81</v>
      </c>
      <c r="E74" t="s">
        <v>82</v>
      </c>
      <c r="F74" t="s">
        <v>83</v>
      </c>
      <c r="G74" s="1" t="s">
        <v>84</v>
      </c>
      <c r="I74" s="1" t="s">
        <v>85</v>
      </c>
      <c r="J74" s="1" t="s">
        <v>96</v>
      </c>
      <c r="K74" s="1" t="s">
        <v>87</v>
      </c>
      <c r="L74">
        <v>8708999709</v>
      </c>
      <c r="M74" s="2" t="s">
        <v>88</v>
      </c>
      <c r="N74" s="3" t="s">
        <v>89</v>
      </c>
      <c r="O74" s="1">
        <v>1</v>
      </c>
      <c r="P74" s="4">
        <v>831.11</v>
      </c>
      <c r="Q74" s="4">
        <v>66.62</v>
      </c>
      <c r="R74" s="4">
        <v>1.92</v>
      </c>
      <c r="S74" s="4">
        <v>899.65</v>
      </c>
      <c r="T74" s="5">
        <v>7.824</v>
      </c>
      <c r="U74" s="5">
        <v>7.824</v>
      </c>
      <c r="V74" s="5">
        <v>11.27</v>
      </c>
      <c r="W74" s="5">
        <v>11.27</v>
      </c>
      <c r="X74" s="4">
        <v>899.65</v>
      </c>
      <c r="Y74">
        <v>2280</v>
      </c>
      <c r="Z74">
        <v>1100</v>
      </c>
      <c r="AA74">
        <v>2420</v>
      </c>
      <c r="AB74" s="1">
        <v>6.07</v>
      </c>
    </row>
    <row r="75" ht="14.5" customHeight="1" spans="2:28">
      <c r="B75" s="6" t="str">
        <f t="shared" si="1"/>
        <v>43115-DT1EJ20250101-A-JIEU8015558-PARTS</v>
      </c>
      <c r="C75" t="s">
        <v>80</v>
      </c>
      <c r="D75" t="s">
        <v>81</v>
      </c>
      <c r="E75" t="s">
        <v>82</v>
      </c>
      <c r="F75" t="s">
        <v>83</v>
      </c>
      <c r="G75" s="1" t="s">
        <v>84</v>
      </c>
      <c r="I75" s="1" t="s">
        <v>85</v>
      </c>
      <c r="J75" s="1" t="s">
        <v>96</v>
      </c>
      <c r="K75" s="1" t="s">
        <v>90</v>
      </c>
      <c r="L75">
        <v>8708299009</v>
      </c>
      <c r="M75" s="2" t="s">
        <v>91</v>
      </c>
      <c r="N75" s="3" t="s">
        <v>92</v>
      </c>
      <c r="O75" s="1">
        <v>1</v>
      </c>
      <c r="P75" s="4">
        <v>20</v>
      </c>
      <c r="Q75" s="4">
        <v>1.6</v>
      </c>
      <c r="R75" s="4">
        <v>0.05</v>
      </c>
      <c r="S75" s="4">
        <v>21.65</v>
      </c>
      <c r="T75" s="5">
        <v>0.633</v>
      </c>
      <c r="U75" s="5">
        <v>0.633</v>
      </c>
      <c r="V75" s="5">
        <v>0.91</v>
      </c>
      <c r="W75" s="5">
        <v>0.91</v>
      </c>
      <c r="X75" s="4">
        <v>21.65</v>
      </c>
    </row>
    <row r="76" ht="14.5" customHeight="1" spans="2:28">
      <c r="B76" s="6" t="str">
        <f t="shared" si="1"/>
        <v>43115-DT1EJ20250101-A-JIEU8015558-PARTS</v>
      </c>
      <c r="C76" t="s">
        <v>80</v>
      </c>
      <c r="D76" t="s">
        <v>81</v>
      </c>
      <c r="E76" t="s">
        <v>82</v>
      </c>
      <c r="F76" t="s">
        <v>83</v>
      </c>
      <c r="G76" s="1" t="s">
        <v>84</v>
      </c>
      <c r="I76" s="1" t="s">
        <v>85</v>
      </c>
      <c r="J76" s="1" t="s">
        <v>96</v>
      </c>
      <c r="K76" s="1" t="s">
        <v>93</v>
      </c>
      <c r="L76">
        <v>8708299009</v>
      </c>
      <c r="M76" s="2" t="s">
        <v>94</v>
      </c>
      <c r="N76" s="3" t="s">
        <v>95</v>
      </c>
      <c r="O76" s="1">
        <v>1</v>
      </c>
      <c r="P76" s="4">
        <v>19.64</v>
      </c>
      <c r="Q76" s="4">
        <v>1.57</v>
      </c>
      <c r="R76" s="4">
        <v>0.05</v>
      </c>
      <c r="S76" s="4">
        <v>21.26</v>
      </c>
      <c r="T76" s="5">
        <v>0.622</v>
      </c>
      <c r="U76" s="5">
        <v>0.622</v>
      </c>
      <c r="V76" s="5">
        <v>0.9</v>
      </c>
      <c r="W76" s="5">
        <v>0.9</v>
      </c>
      <c r="X76" s="4">
        <v>21.26</v>
      </c>
    </row>
    <row r="77" ht="14.5" customHeight="1" spans="2:28">
      <c r="B77" s="6" t="str">
        <f t="shared" si="1"/>
        <v>43115-DT1EJ20250101-A-JIEU8015558-PARTS</v>
      </c>
      <c r="C77" s="29" t="s">
        <v>80</v>
      </c>
      <c r="D77" s="30" t="s">
        <v>81</v>
      </c>
      <c r="E77" s="30" t="s">
        <v>82</v>
      </c>
      <c r="F77" s="30" t="s">
        <v>83</v>
      </c>
      <c r="G77" s="31" t="s">
        <v>84</v>
      </c>
      <c r="H77" s="31"/>
      <c r="I77" s="31" t="s">
        <v>85</v>
      </c>
      <c r="J77" s="31" t="s">
        <v>96</v>
      </c>
      <c r="K77" s="31" t="s">
        <v>87</v>
      </c>
      <c r="L77" s="31">
        <v>8708999709</v>
      </c>
      <c r="M77" s="32" t="s">
        <v>88</v>
      </c>
      <c r="N77" s="33" t="s">
        <v>89</v>
      </c>
      <c r="O77" s="31">
        <v>1</v>
      </c>
      <c r="P77" s="34">
        <v>831.11</v>
      </c>
      <c r="Q77" s="34">
        <v>66.62</v>
      </c>
      <c r="R77" s="34">
        <v>1.92</v>
      </c>
      <c r="S77" s="34">
        <v>899.65</v>
      </c>
      <c r="T77" s="35">
        <v>7.824</v>
      </c>
      <c r="U77" s="35">
        <v>7.824</v>
      </c>
      <c r="V77" s="35">
        <v>11.27</v>
      </c>
      <c r="W77" s="35">
        <v>11.27</v>
      </c>
      <c r="X77" s="34">
        <v>899.65</v>
      </c>
      <c r="Y77" s="31"/>
      <c r="Z77" s="31"/>
      <c r="AA77" s="31"/>
      <c r="AB77" s="31"/>
    </row>
    <row r="78" ht="14.5" customHeight="1" spans="2:28">
      <c r="B78" s="6" t="str">
        <f t="shared" si="1"/>
        <v>43115-DT1EJ20250101-A-JIEU8015558-PARTS</v>
      </c>
      <c r="C78" s="29" t="s">
        <v>80</v>
      </c>
      <c r="D78" s="30" t="s">
        <v>81</v>
      </c>
      <c r="E78" s="30" t="s">
        <v>82</v>
      </c>
      <c r="F78" s="30" t="s">
        <v>83</v>
      </c>
      <c r="G78" s="31" t="s">
        <v>84</v>
      </c>
      <c r="H78" s="31"/>
      <c r="I78" s="31" t="s">
        <v>85</v>
      </c>
      <c r="J78" s="31" t="s">
        <v>96</v>
      </c>
      <c r="K78" s="31" t="s">
        <v>90</v>
      </c>
      <c r="L78" s="31">
        <v>8708299009</v>
      </c>
      <c r="M78" s="32" t="s">
        <v>91</v>
      </c>
      <c r="N78" s="33" t="s">
        <v>92</v>
      </c>
      <c r="O78" s="31">
        <v>1</v>
      </c>
      <c r="P78" s="34">
        <v>20</v>
      </c>
      <c r="Q78" s="34">
        <v>1.6</v>
      </c>
      <c r="R78" s="34">
        <v>0.05</v>
      </c>
      <c r="S78" s="34">
        <v>21.65</v>
      </c>
      <c r="T78" s="35">
        <v>0.633</v>
      </c>
      <c r="U78" s="35">
        <v>0.633</v>
      </c>
      <c r="V78" s="35">
        <v>0.91</v>
      </c>
      <c r="W78" s="35">
        <v>0.91</v>
      </c>
      <c r="X78" s="34">
        <v>21.65</v>
      </c>
      <c r="Y78" s="31"/>
      <c r="Z78" s="31"/>
      <c r="AA78" s="31"/>
      <c r="AB78" s="31"/>
    </row>
    <row r="79" ht="14.5" customHeight="1" spans="2:28">
      <c r="B79" s="6" t="str">
        <f t="shared" si="1"/>
        <v>43115-DT1EJ20250101-A-JIEU8015558-PARTS</v>
      </c>
      <c r="C79" s="29" t="s">
        <v>80</v>
      </c>
      <c r="D79" s="30" t="s">
        <v>81</v>
      </c>
      <c r="E79" s="30" t="s">
        <v>82</v>
      </c>
      <c r="F79" s="30" t="s">
        <v>83</v>
      </c>
      <c r="G79" s="31" t="s">
        <v>84</v>
      </c>
      <c r="H79" s="31"/>
      <c r="I79" s="31" t="s">
        <v>85</v>
      </c>
      <c r="J79" s="31" t="s">
        <v>96</v>
      </c>
      <c r="K79" s="31" t="s">
        <v>93</v>
      </c>
      <c r="L79" s="31">
        <v>8708299009</v>
      </c>
      <c r="M79" s="32" t="s">
        <v>94</v>
      </c>
      <c r="N79" s="33" t="s">
        <v>95</v>
      </c>
      <c r="O79" s="31">
        <v>1</v>
      </c>
      <c r="P79" s="34">
        <v>19.64</v>
      </c>
      <c r="Q79" s="34">
        <v>1.57</v>
      </c>
      <c r="R79" s="34">
        <v>0.05</v>
      </c>
      <c r="S79" s="34">
        <v>21.26</v>
      </c>
      <c r="T79" s="35">
        <v>0.622</v>
      </c>
      <c r="U79" s="35">
        <v>0.622</v>
      </c>
      <c r="V79" s="35">
        <v>0.9</v>
      </c>
      <c r="W79" s="35">
        <v>0.9</v>
      </c>
      <c r="X79" s="34">
        <v>21.26</v>
      </c>
      <c r="Y79" s="31"/>
      <c r="Z79" s="31"/>
      <c r="AA79" s="31"/>
      <c r="AB79" s="31"/>
    </row>
    <row r="80" ht="14.5" customHeight="1" spans="2:28">
      <c r="B80" s="6" t="str">
        <f t="shared" si="1"/>
        <v>43115-DT1EJ20250101-A-JIEU8015558-PARTS</v>
      </c>
      <c r="C80" t="s">
        <v>80</v>
      </c>
      <c r="D80" t="s">
        <v>81</v>
      </c>
      <c r="E80" t="s">
        <v>82</v>
      </c>
      <c r="F80" t="s">
        <v>83</v>
      </c>
      <c r="G80" s="1" t="s">
        <v>84</v>
      </c>
      <c r="I80" s="1" t="s">
        <v>85</v>
      </c>
      <c r="J80" s="1" t="s">
        <v>96</v>
      </c>
      <c r="K80" s="1" t="s">
        <v>87</v>
      </c>
      <c r="L80">
        <v>8708999709</v>
      </c>
      <c r="M80" s="2" t="s">
        <v>88</v>
      </c>
      <c r="N80" s="3" t="s">
        <v>89</v>
      </c>
      <c r="O80" s="1">
        <v>1</v>
      </c>
      <c r="P80" s="4">
        <v>831.11</v>
      </c>
      <c r="Q80" s="4">
        <v>66.62</v>
      </c>
      <c r="R80" s="4">
        <v>1.92</v>
      </c>
      <c r="S80" s="4">
        <v>899.65</v>
      </c>
      <c r="T80" s="5">
        <v>7.824</v>
      </c>
      <c r="U80" s="5">
        <v>7.824</v>
      </c>
      <c r="V80" s="5">
        <v>11.27</v>
      </c>
      <c r="W80" s="5">
        <v>11.27</v>
      </c>
      <c r="X80" s="4">
        <v>899.65</v>
      </c>
    </row>
    <row r="81" ht="14.5" customHeight="1" spans="2:24">
      <c r="B81" s="6" t="str">
        <f t="shared" si="1"/>
        <v>43115-DT1EJ20250101-A-JIEU8015558-PARTS</v>
      </c>
      <c r="C81" t="s">
        <v>80</v>
      </c>
      <c r="D81" t="s">
        <v>81</v>
      </c>
      <c r="E81" t="s">
        <v>82</v>
      </c>
      <c r="F81" t="s">
        <v>83</v>
      </c>
      <c r="G81" s="1" t="s">
        <v>84</v>
      </c>
      <c r="I81" s="1" t="s">
        <v>85</v>
      </c>
      <c r="J81" s="1" t="s">
        <v>96</v>
      </c>
      <c r="K81" s="1" t="s">
        <v>90</v>
      </c>
      <c r="L81">
        <v>8708299009</v>
      </c>
      <c r="M81" s="2" t="s">
        <v>91</v>
      </c>
      <c r="N81" s="3" t="s">
        <v>92</v>
      </c>
      <c r="O81" s="1">
        <v>1</v>
      </c>
      <c r="P81" s="4">
        <v>20</v>
      </c>
      <c r="Q81" s="4">
        <v>1.6</v>
      </c>
      <c r="R81" s="4">
        <v>0.05</v>
      </c>
      <c r="S81" s="4">
        <v>21.65</v>
      </c>
      <c r="T81" s="5">
        <v>0.633</v>
      </c>
      <c r="U81" s="5">
        <v>0.633</v>
      </c>
      <c r="V81" s="5">
        <v>0.91</v>
      </c>
      <c r="W81" s="5">
        <v>0.91</v>
      </c>
      <c r="X81" s="4">
        <v>21.65</v>
      </c>
    </row>
    <row r="82" ht="14.5" customHeight="1" spans="2:24">
      <c r="B82" s="6" t="str">
        <f t="shared" si="1"/>
        <v>43115-DT1EJ20250101-A-JIEU8015558-PARTS</v>
      </c>
      <c r="C82" t="s">
        <v>80</v>
      </c>
      <c r="D82" t="s">
        <v>81</v>
      </c>
      <c r="E82" t="s">
        <v>82</v>
      </c>
      <c r="F82" t="s">
        <v>83</v>
      </c>
      <c r="G82" s="1" t="s">
        <v>84</v>
      </c>
      <c r="I82" s="1" t="s">
        <v>85</v>
      </c>
      <c r="J82" s="1" t="s">
        <v>96</v>
      </c>
      <c r="K82" s="1" t="s">
        <v>93</v>
      </c>
      <c r="L82">
        <v>8708299009</v>
      </c>
      <c r="M82" s="2" t="s">
        <v>94</v>
      </c>
      <c r="N82" s="3" t="s">
        <v>95</v>
      </c>
      <c r="O82" s="1">
        <v>1</v>
      </c>
      <c r="P82" s="4">
        <v>19.64</v>
      </c>
      <c r="Q82" s="4">
        <v>1.57</v>
      </c>
      <c r="R82" s="4">
        <v>0.05</v>
      </c>
      <c r="S82" s="4">
        <v>21.26</v>
      </c>
      <c r="T82" s="5">
        <v>0.622</v>
      </c>
      <c r="U82" s="5">
        <v>0.622</v>
      </c>
      <c r="V82" s="5">
        <v>0.9</v>
      </c>
      <c r="W82" s="5">
        <v>0.9</v>
      </c>
      <c r="X82" s="4">
        <v>21.26</v>
      </c>
    </row>
    <row r="83" ht="14.5" customHeight="1" spans="2:24">
      <c r="B83" s="6" t="str">
        <f t="shared" si="1"/>
        <v>43115-DT1EJ20250101-A-JIEU8015558-PARTS</v>
      </c>
      <c r="C83" t="s">
        <v>80</v>
      </c>
      <c r="D83" t="s">
        <v>81</v>
      </c>
      <c r="E83" t="s">
        <v>82</v>
      </c>
      <c r="F83" t="s">
        <v>83</v>
      </c>
      <c r="G83" s="1" t="s">
        <v>84</v>
      </c>
      <c r="I83" s="1" t="s">
        <v>85</v>
      </c>
      <c r="J83" s="1" t="s">
        <v>96</v>
      </c>
      <c r="K83" s="1" t="s">
        <v>87</v>
      </c>
      <c r="L83">
        <v>8708999709</v>
      </c>
      <c r="M83" s="2" t="s">
        <v>88</v>
      </c>
      <c r="N83" s="3" t="s">
        <v>89</v>
      </c>
      <c r="O83" s="1">
        <v>1</v>
      </c>
      <c r="P83" s="4">
        <v>831.11</v>
      </c>
      <c r="Q83" s="4">
        <v>66.62</v>
      </c>
      <c r="R83" s="4">
        <v>1.92</v>
      </c>
      <c r="S83" s="4">
        <v>899.65</v>
      </c>
      <c r="T83" s="5">
        <v>7.824</v>
      </c>
      <c r="U83" s="5">
        <v>7.824</v>
      </c>
      <c r="V83" s="5">
        <v>11.27</v>
      </c>
      <c r="W83" s="5">
        <v>11.27</v>
      </c>
      <c r="X83" s="4">
        <v>899.65</v>
      </c>
    </row>
    <row r="84" ht="14.5" customHeight="1" spans="2:24">
      <c r="B84" s="6" t="str">
        <f t="shared" si="1"/>
        <v>43115-DT1EJ20250101-A-JIEU8015558-PARTS</v>
      </c>
      <c r="C84" t="s">
        <v>80</v>
      </c>
      <c r="D84" t="s">
        <v>81</v>
      </c>
      <c r="E84" t="s">
        <v>82</v>
      </c>
      <c r="F84" t="s">
        <v>83</v>
      </c>
      <c r="G84" s="1" t="s">
        <v>84</v>
      </c>
      <c r="I84" s="1" t="s">
        <v>85</v>
      </c>
      <c r="J84" s="1" t="s">
        <v>96</v>
      </c>
      <c r="K84" s="1" t="s">
        <v>90</v>
      </c>
      <c r="L84">
        <v>8708299009</v>
      </c>
      <c r="M84" s="2" t="s">
        <v>91</v>
      </c>
      <c r="N84" s="3" t="s">
        <v>92</v>
      </c>
      <c r="O84" s="1">
        <v>1</v>
      </c>
      <c r="P84" s="4">
        <v>20</v>
      </c>
      <c r="Q84" s="4">
        <v>1.6</v>
      </c>
      <c r="R84" s="4">
        <v>0.05</v>
      </c>
      <c r="S84" s="4">
        <v>21.65</v>
      </c>
      <c r="T84" s="5">
        <v>0.633</v>
      </c>
      <c r="U84" s="5">
        <v>0.633</v>
      </c>
      <c r="V84" s="5">
        <v>0.91</v>
      </c>
      <c r="W84" s="5">
        <v>0.91</v>
      </c>
      <c r="X84" s="4">
        <v>21.65</v>
      </c>
    </row>
    <row r="85" ht="14.5" customHeight="1" spans="2:24">
      <c r="B85" s="6" t="str">
        <f t="shared" si="1"/>
        <v>43115-DT1EJ20250101-A-JIEU8015558-PARTS</v>
      </c>
      <c r="C85" t="s">
        <v>80</v>
      </c>
      <c r="D85" t="s">
        <v>81</v>
      </c>
      <c r="E85" t="s">
        <v>82</v>
      </c>
      <c r="F85" t="s">
        <v>83</v>
      </c>
      <c r="G85" s="1" t="s">
        <v>84</v>
      </c>
      <c r="I85" s="1" t="s">
        <v>85</v>
      </c>
      <c r="J85" s="1" t="s">
        <v>96</v>
      </c>
      <c r="K85" s="1" t="s">
        <v>93</v>
      </c>
      <c r="L85">
        <v>8708299009</v>
      </c>
      <c r="M85" s="2" t="s">
        <v>94</v>
      </c>
      <c r="N85" s="3" t="s">
        <v>95</v>
      </c>
      <c r="O85" s="1">
        <v>1</v>
      </c>
      <c r="P85" s="4">
        <v>19.64</v>
      </c>
      <c r="Q85" s="4">
        <v>1.57</v>
      </c>
      <c r="R85" s="4">
        <v>0.05</v>
      </c>
      <c r="S85" s="4">
        <v>21.26</v>
      </c>
      <c r="T85" s="5">
        <v>0.622</v>
      </c>
      <c r="U85" s="5">
        <v>0.622</v>
      </c>
      <c r="V85" s="5">
        <v>0.9</v>
      </c>
      <c r="W85" s="5">
        <v>0.9</v>
      </c>
      <c r="X85" s="4">
        <v>21.26</v>
      </c>
    </row>
    <row r="86" ht="14.5" customHeight="1" spans="2:24">
      <c r="B86" s="6" t="str">
        <f t="shared" si="1"/>
        <v>43115-DT1EJ20250101-A-JIEU8015558-PARTS</v>
      </c>
      <c r="C86" t="s">
        <v>80</v>
      </c>
      <c r="D86" t="s">
        <v>81</v>
      </c>
      <c r="E86" t="s">
        <v>82</v>
      </c>
      <c r="F86" t="s">
        <v>83</v>
      </c>
      <c r="G86" s="1" t="s">
        <v>84</v>
      </c>
      <c r="I86" s="1" t="s">
        <v>85</v>
      </c>
      <c r="J86" s="1" t="s">
        <v>96</v>
      </c>
      <c r="K86" s="1" t="s">
        <v>87</v>
      </c>
      <c r="L86">
        <v>8708999709</v>
      </c>
      <c r="M86" s="2" t="s">
        <v>88</v>
      </c>
      <c r="N86" s="3" t="s">
        <v>89</v>
      </c>
      <c r="O86" s="1">
        <v>1</v>
      </c>
      <c r="P86" s="4">
        <v>831.11</v>
      </c>
      <c r="Q86" s="4">
        <v>66.62</v>
      </c>
      <c r="R86" s="4">
        <v>1.92</v>
      </c>
      <c r="S86" s="4">
        <v>899.65</v>
      </c>
      <c r="T86" s="5">
        <v>7.824</v>
      </c>
      <c r="U86" s="5">
        <v>7.824</v>
      </c>
      <c r="V86" s="5">
        <v>11.27</v>
      </c>
      <c r="W86" s="5">
        <v>11.27</v>
      </c>
      <c r="X86" s="4">
        <v>899.65</v>
      </c>
    </row>
    <row r="87" ht="14.5" customHeight="1" spans="2:24">
      <c r="B87" s="6" t="str">
        <f t="shared" si="1"/>
        <v>43115-DT1EJ20250101-A-JIEU8015558-PARTS</v>
      </c>
      <c r="C87" t="s">
        <v>80</v>
      </c>
      <c r="D87" t="s">
        <v>81</v>
      </c>
      <c r="E87" t="s">
        <v>82</v>
      </c>
      <c r="F87" t="s">
        <v>83</v>
      </c>
      <c r="G87" s="1" t="s">
        <v>84</v>
      </c>
      <c r="I87" s="1" t="s">
        <v>85</v>
      </c>
      <c r="J87" s="1" t="s">
        <v>96</v>
      </c>
      <c r="K87" s="1" t="s">
        <v>90</v>
      </c>
      <c r="L87">
        <v>8708299009</v>
      </c>
      <c r="M87" s="2" t="s">
        <v>91</v>
      </c>
      <c r="N87" s="3" t="s">
        <v>92</v>
      </c>
      <c r="O87" s="1">
        <v>1</v>
      </c>
      <c r="P87" s="4">
        <v>20</v>
      </c>
      <c r="Q87" s="4">
        <v>1.6</v>
      </c>
      <c r="R87" s="4">
        <v>0.05</v>
      </c>
      <c r="S87" s="4">
        <v>21.65</v>
      </c>
      <c r="T87" s="5">
        <v>0.633</v>
      </c>
      <c r="U87" s="5">
        <v>0.633</v>
      </c>
      <c r="V87" s="5">
        <v>0.91</v>
      </c>
      <c r="W87" s="5">
        <v>0.91</v>
      </c>
      <c r="X87" s="4">
        <v>21.65</v>
      </c>
    </row>
    <row r="88" ht="14.5" customHeight="1" spans="2:24">
      <c r="B88" s="6" t="str">
        <f t="shared" si="1"/>
        <v>43115-DT1EJ20250101-A-JIEU8015558-PARTS</v>
      </c>
      <c r="C88" t="s">
        <v>80</v>
      </c>
      <c r="D88" t="s">
        <v>81</v>
      </c>
      <c r="E88" t="s">
        <v>82</v>
      </c>
      <c r="F88" t="s">
        <v>83</v>
      </c>
      <c r="G88" s="1" t="s">
        <v>84</v>
      </c>
      <c r="I88" s="1" t="s">
        <v>85</v>
      </c>
      <c r="J88" s="1" t="s">
        <v>96</v>
      </c>
      <c r="K88" s="1" t="s">
        <v>93</v>
      </c>
      <c r="L88">
        <v>8708299009</v>
      </c>
      <c r="M88" s="2" t="s">
        <v>94</v>
      </c>
      <c r="N88" s="3" t="s">
        <v>95</v>
      </c>
      <c r="O88" s="1">
        <v>1</v>
      </c>
      <c r="P88" s="4">
        <v>19.64</v>
      </c>
      <c r="Q88" s="4">
        <v>1.57</v>
      </c>
      <c r="R88" s="4">
        <v>0.05</v>
      </c>
      <c r="S88" s="4">
        <v>21.26</v>
      </c>
      <c r="T88" s="5">
        <v>0.622</v>
      </c>
      <c r="U88" s="5">
        <v>0.622</v>
      </c>
      <c r="V88" s="5">
        <v>0.9</v>
      </c>
      <c r="W88" s="5">
        <v>0.9</v>
      </c>
      <c r="X88" s="4">
        <v>21.26</v>
      </c>
    </row>
    <row r="89" ht="14.5" customHeight="1" spans="2:24">
      <c r="B89" s="6" t="str">
        <f t="shared" si="1"/>
        <v>43115-DT1EJ20250101-A-JIEU8015558-PARTS</v>
      </c>
      <c r="C89" t="s">
        <v>80</v>
      </c>
      <c r="D89" t="s">
        <v>81</v>
      </c>
      <c r="E89" t="s">
        <v>82</v>
      </c>
      <c r="F89" t="s">
        <v>83</v>
      </c>
      <c r="G89" s="1" t="s">
        <v>84</v>
      </c>
      <c r="I89" s="1" t="s">
        <v>85</v>
      </c>
      <c r="J89" s="1" t="s">
        <v>96</v>
      </c>
      <c r="K89" s="1" t="s">
        <v>87</v>
      </c>
      <c r="L89">
        <v>8708999709</v>
      </c>
      <c r="M89" s="2" t="s">
        <v>88</v>
      </c>
      <c r="N89" s="3" t="s">
        <v>89</v>
      </c>
      <c r="O89" s="1">
        <v>1</v>
      </c>
      <c r="P89" s="4">
        <v>831.11</v>
      </c>
      <c r="Q89" s="4">
        <v>66.62</v>
      </c>
      <c r="R89" s="4">
        <v>1.92</v>
      </c>
      <c r="S89" s="4">
        <v>899.65</v>
      </c>
      <c r="T89" s="5">
        <v>7.824</v>
      </c>
      <c r="U89" s="5">
        <v>7.824</v>
      </c>
      <c r="V89" s="5">
        <v>11.27</v>
      </c>
      <c r="W89" s="5">
        <v>11.27</v>
      </c>
      <c r="X89" s="4">
        <v>899.65</v>
      </c>
    </row>
    <row r="90" ht="14.5" customHeight="1" spans="2:24">
      <c r="B90" s="6" t="str">
        <f t="shared" si="1"/>
        <v>43115-DT1EJ20250101-A-JIEU8015558-PARTS</v>
      </c>
      <c r="C90" t="s">
        <v>80</v>
      </c>
      <c r="D90" t="s">
        <v>81</v>
      </c>
      <c r="E90" t="s">
        <v>82</v>
      </c>
      <c r="F90" t="s">
        <v>83</v>
      </c>
      <c r="G90" s="1" t="s">
        <v>84</v>
      </c>
      <c r="I90" s="1" t="s">
        <v>85</v>
      </c>
      <c r="J90" s="1" t="s">
        <v>96</v>
      </c>
      <c r="K90" s="1" t="s">
        <v>90</v>
      </c>
      <c r="L90">
        <v>8708299009</v>
      </c>
      <c r="M90" s="2" t="s">
        <v>91</v>
      </c>
      <c r="N90" s="3" t="s">
        <v>92</v>
      </c>
      <c r="O90" s="1">
        <v>1</v>
      </c>
      <c r="P90" s="4">
        <v>20</v>
      </c>
      <c r="Q90" s="4">
        <v>1.6</v>
      </c>
      <c r="R90" s="4">
        <v>0.05</v>
      </c>
      <c r="S90" s="4">
        <v>21.65</v>
      </c>
      <c r="T90" s="5">
        <v>0.633</v>
      </c>
      <c r="U90" s="5">
        <v>0.633</v>
      </c>
      <c r="V90" s="5">
        <v>0.91</v>
      </c>
      <c r="W90" s="5">
        <v>0.91</v>
      </c>
      <c r="X90" s="4">
        <v>21.65</v>
      </c>
    </row>
    <row r="91" ht="14.5" customHeight="1" spans="2:24">
      <c r="B91" s="6" t="str">
        <f t="shared" si="1"/>
        <v>43115-DT1EJ20250101-A-JIEU8015558-PARTS</v>
      </c>
      <c r="C91" t="s">
        <v>80</v>
      </c>
      <c r="D91" t="s">
        <v>81</v>
      </c>
      <c r="E91" t="s">
        <v>82</v>
      </c>
      <c r="F91" t="s">
        <v>83</v>
      </c>
      <c r="G91" s="1" t="s">
        <v>84</v>
      </c>
      <c r="I91" s="1" t="s">
        <v>85</v>
      </c>
      <c r="J91" s="1" t="s">
        <v>96</v>
      </c>
      <c r="K91" s="1" t="s">
        <v>93</v>
      </c>
      <c r="L91">
        <v>8708299009</v>
      </c>
      <c r="M91" s="2" t="s">
        <v>94</v>
      </c>
      <c r="N91" s="3" t="s">
        <v>95</v>
      </c>
      <c r="O91" s="1">
        <v>1</v>
      </c>
      <c r="P91" s="4">
        <v>19.64</v>
      </c>
      <c r="Q91" s="4">
        <v>1.57</v>
      </c>
      <c r="R91" s="4">
        <v>0.05</v>
      </c>
      <c r="S91" s="4">
        <v>21.26</v>
      </c>
      <c r="T91" s="5">
        <v>0.622</v>
      </c>
      <c r="U91" s="5">
        <v>0.622</v>
      </c>
      <c r="V91" s="5">
        <v>0.9</v>
      </c>
      <c r="W91" s="5">
        <v>0.9</v>
      </c>
      <c r="X91" s="4">
        <v>21.26</v>
      </c>
    </row>
    <row r="92" ht="14.5" customHeight="1" spans="2:24">
      <c r="B92" s="6" t="str">
        <f t="shared" si="1"/>
        <v>43115-DT1EJ20250101-A-JIEU8015558-PARTS</v>
      </c>
      <c r="C92" t="s">
        <v>80</v>
      </c>
      <c r="D92" t="s">
        <v>81</v>
      </c>
      <c r="E92" t="s">
        <v>82</v>
      </c>
      <c r="F92" t="s">
        <v>83</v>
      </c>
      <c r="G92" s="1" t="s">
        <v>84</v>
      </c>
      <c r="I92" s="1" t="s">
        <v>85</v>
      </c>
      <c r="J92" s="1" t="s">
        <v>96</v>
      </c>
      <c r="K92" s="1" t="s">
        <v>87</v>
      </c>
      <c r="L92">
        <v>8708999709</v>
      </c>
      <c r="M92" s="2" t="s">
        <v>88</v>
      </c>
      <c r="N92" s="3" t="s">
        <v>89</v>
      </c>
      <c r="O92" s="1">
        <v>1</v>
      </c>
      <c r="P92" s="4">
        <v>831.11</v>
      </c>
      <c r="Q92" s="4">
        <v>66.62</v>
      </c>
      <c r="R92" s="4">
        <v>1.92</v>
      </c>
      <c r="S92" s="4">
        <v>899.65</v>
      </c>
      <c r="T92" s="5">
        <v>7.824</v>
      </c>
      <c r="U92" s="5">
        <v>7.824</v>
      </c>
      <c r="V92" s="5">
        <v>11.27</v>
      </c>
      <c r="W92" s="5">
        <v>11.27</v>
      </c>
      <c r="X92" s="4">
        <v>899.65</v>
      </c>
    </row>
    <row r="93" ht="14.5" customHeight="1" spans="2:24">
      <c r="B93" s="6" t="str">
        <f t="shared" si="1"/>
        <v>43115-DT1EJ20250101-A-JIEU8015558-PARTS</v>
      </c>
      <c r="C93" t="s">
        <v>80</v>
      </c>
      <c r="D93" t="s">
        <v>81</v>
      </c>
      <c r="E93" t="s">
        <v>82</v>
      </c>
      <c r="F93" t="s">
        <v>83</v>
      </c>
      <c r="G93" s="1" t="s">
        <v>84</v>
      </c>
      <c r="I93" s="1" t="s">
        <v>85</v>
      </c>
      <c r="J93" s="1" t="s">
        <v>96</v>
      </c>
      <c r="K93" s="1" t="s">
        <v>90</v>
      </c>
      <c r="L93">
        <v>8708299009</v>
      </c>
      <c r="M93" s="2" t="s">
        <v>91</v>
      </c>
      <c r="N93" s="3" t="s">
        <v>92</v>
      </c>
      <c r="O93" s="1">
        <v>1</v>
      </c>
      <c r="P93" s="4">
        <v>20</v>
      </c>
      <c r="Q93" s="4">
        <v>1.6</v>
      </c>
      <c r="R93" s="4">
        <v>0.05</v>
      </c>
      <c r="S93" s="4">
        <v>21.65</v>
      </c>
      <c r="T93" s="5">
        <v>0.633</v>
      </c>
      <c r="U93" s="5">
        <v>0.633</v>
      </c>
      <c r="V93" s="5">
        <v>0.91</v>
      </c>
      <c r="W93" s="5">
        <v>0.91</v>
      </c>
      <c r="X93" s="4">
        <v>21.65</v>
      </c>
    </row>
    <row r="94" ht="14.5" customHeight="1" spans="2:24">
      <c r="B94" s="6" t="str">
        <f t="shared" si="1"/>
        <v>43115-DT1EJ20250101-A-JIEU8015558-PARTS</v>
      </c>
      <c r="C94" t="s">
        <v>80</v>
      </c>
      <c r="D94" t="s">
        <v>81</v>
      </c>
      <c r="E94" t="s">
        <v>82</v>
      </c>
      <c r="F94" t="s">
        <v>83</v>
      </c>
      <c r="G94" s="1" t="s">
        <v>84</v>
      </c>
      <c r="I94" s="1" t="s">
        <v>85</v>
      </c>
      <c r="J94" s="1" t="s">
        <v>96</v>
      </c>
      <c r="K94" s="1" t="s">
        <v>93</v>
      </c>
      <c r="L94">
        <v>8708299009</v>
      </c>
      <c r="M94" s="2" t="s">
        <v>94</v>
      </c>
      <c r="N94" s="3" t="s">
        <v>95</v>
      </c>
      <c r="O94" s="1">
        <v>1</v>
      </c>
      <c r="P94" s="4">
        <v>19.64</v>
      </c>
      <c r="Q94" s="4">
        <v>1.57</v>
      </c>
      <c r="R94" s="4">
        <v>0.05</v>
      </c>
      <c r="S94" s="4">
        <v>21.26</v>
      </c>
      <c r="T94" s="5">
        <v>0.622</v>
      </c>
      <c r="U94" s="5">
        <v>0.622</v>
      </c>
      <c r="V94" s="5">
        <v>0.9</v>
      </c>
      <c r="W94" s="5">
        <v>0.9</v>
      </c>
      <c r="X94" s="4">
        <v>21.26</v>
      </c>
    </row>
    <row r="95" ht="14.5" customHeight="1" spans="2:24">
      <c r="B95" s="6" t="str">
        <f t="shared" si="1"/>
        <v>43115-DT1EJ20250101-A-JIEU8015558-PARTS</v>
      </c>
      <c r="C95" t="s">
        <v>80</v>
      </c>
      <c r="D95" t="s">
        <v>81</v>
      </c>
      <c r="E95" t="s">
        <v>82</v>
      </c>
      <c r="F95" t="s">
        <v>83</v>
      </c>
      <c r="G95" s="1" t="s">
        <v>84</v>
      </c>
      <c r="I95" s="1" t="s">
        <v>85</v>
      </c>
      <c r="J95" s="1" t="s">
        <v>96</v>
      </c>
      <c r="K95" s="1" t="s">
        <v>87</v>
      </c>
      <c r="L95">
        <v>8708999709</v>
      </c>
      <c r="M95" s="2" t="s">
        <v>88</v>
      </c>
      <c r="N95" s="3" t="s">
        <v>89</v>
      </c>
      <c r="O95" s="1">
        <v>1</v>
      </c>
      <c r="P95" s="4">
        <v>831.11</v>
      </c>
      <c r="Q95" s="4">
        <v>66.62</v>
      </c>
      <c r="R95" s="4">
        <v>1.92</v>
      </c>
      <c r="S95" s="4">
        <v>899.65</v>
      </c>
      <c r="T95" s="5">
        <v>7.824</v>
      </c>
      <c r="U95" s="5">
        <v>7.824</v>
      </c>
      <c r="V95" s="5">
        <v>11.27</v>
      </c>
      <c r="W95" s="5">
        <v>11.27</v>
      </c>
      <c r="X95" s="4">
        <v>899.65</v>
      </c>
    </row>
    <row r="96" ht="14.5" customHeight="1" spans="2:24">
      <c r="B96" s="6" t="str">
        <f t="shared" si="1"/>
        <v>43115-DT1EJ20250101-A-JIEU8015558-PARTS</v>
      </c>
      <c r="C96" t="s">
        <v>80</v>
      </c>
      <c r="D96" t="s">
        <v>81</v>
      </c>
      <c r="E96" t="s">
        <v>82</v>
      </c>
      <c r="F96" t="s">
        <v>83</v>
      </c>
      <c r="G96" s="1" t="s">
        <v>84</v>
      </c>
      <c r="I96" s="1" t="s">
        <v>85</v>
      </c>
      <c r="J96" s="1" t="s">
        <v>96</v>
      </c>
      <c r="K96" s="1" t="s">
        <v>90</v>
      </c>
      <c r="L96">
        <v>8708299009</v>
      </c>
      <c r="M96" s="2" t="s">
        <v>91</v>
      </c>
      <c r="N96" s="3" t="s">
        <v>92</v>
      </c>
      <c r="O96" s="1">
        <v>1</v>
      </c>
      <c r="P96" s="4">
        <v>20</v>
      </c>
      <c r="Q96" s="4">
        <v>1.6</v>
      </c>
      <c r="R96" s="4">
        <v>0.05</v>
      </c>
      <c r="S96" s="4">
        <v>21.65</v>
      </c>
      <c r="T96" s="5">
        <v>0.633</v>
      </c>
      <c r="U96" s="5">
        <v>0.633</v>
      </c>
      <c r="V96" s="5">
        <v>0.91</v>
      </c>
      <c r="W96" s="5">
        <v>0.91</v>
      </c>
      <c r="X96" s="4">
        <v>21.65</v>
      </c>
    </row>
    <row r="97" ht="14.5" customHeight="1" spans="2:24">
      <c r="B97" s="6" t="str">
        <f t="shared" si="1"/>
        <v>43115-DT1EJ20250101-A-JIEU8015558-PARTS</v>
      </c>
      <c r="C97" t="s">
        <v>80</v>
      </c>
      <c r="D97" t="s">
        <v>81</v>
      </c>
      <c r="E97" t="s">
        <v>82</v>
      </c>
      <c r="F97" t="s">
        <v>83</v>
      </c>
      <c r="G97" s="1" t="s">
        <v>84</v>
      </c>
      <c r="I97" s="1" t="s">
        <v>85</v>
      </c>
      <c r="J97" s="1" t="s">
        <v>96</v>
      </c>
      <c r="K97" s="1" t="s">
        <v>93</v>
      </c>
      <c r="L97">
        <v>8708299009</v>
      </c>
      <c r="M97" s="2" t="s">
        <v>94</v>
      </c>
      <c r="N97" s="3" t="s">
        <v>95</v>
      </c>
      <c r="O97" s="1">
        <v>1</v>
      </c>
      <c r="P97" s="4">
        <v>19.64</v>
      </c>
      <c r="Q97" s="4">
        <v>1.57</v>
      </c>
      <c r="R97" s="4">
        <v>0.05</v>
      </c>
      <c r="S97" s="4">
        <v>21.26</v>
      </c>
      <c r="T97" s="5">
        <v>0.622</v>
      </c>
      <c r="U97" s="5">
        <v>0.622</v>
      </c>
      <c r="V97" s="5">
        <v>0.9</v>
      </c>
      <c r="W97" s="5">
        <v>0.9</v>
      </c>
      <c r="X97" s="4">
        <v>21.26</v>
      </c>
    </row>
    <row r="98" ht="14.5" customHeight="1" spans="2:24">
      <c r="B98" s="6" t="str">
        <f t="shared" si="1"/>
        <v>43115-DT1EJ20250101-A-JIEU8015558-PARTS</v>
      </c>
      <c r="C98" t="s">
        <v>80</v>
      </c>
      <c r="D98" t="s">
        <v>81</v>
      </c>
      <c r="E98" t="s">
        <v>82</v>
      </c>
      <c r="F98" t="s">
        <v>83</v>
      </c>
      <c r="G98" s="1" t="s">
        <v>84</v>
      </c>
      <c r="I98" s="1" t="s">
        <v>85</v>
      </c>
      <c r="J98" s="1" t="s">
        <v>96</v>
      </c>
      <c r="K98" s="1" t="s">
        <v>87</v>
      </c>
      <c r="L98">
        <v>8708999709</v>
      </c>
      <c r="M98" s="2" t="s">
        <v>88</v>
      </c>
      <c r="N98" s="3" t="s">
        <v>89</v>
      </c>
      <c r="O98" s="1">
        <v>1</v>
      </c>
      <c r="P98" s="4">
        <v>831.11</v>
      </c>
      <c r="Q98" s="4">
        <v>66.62</v>
      </c>
      <c r="R98" s="4">
        <v>1.92</v>
      </c>
      <c r="S98" s="4">
        <v>899.65</v>
      </c>
      <c r="T98" s="5">
        <v>7.824</v>
      </c>
      <c r="U98" s="5">
        <v>7.824</v>
      </c>
      <c r="V98" s="5">
        <v>11.27</v>
      </c>
      <c r="W98" s="5">
        <v>11.27</v>
      </c>
      <c r="X98" s="4">
        <v>899.65</v>
      </c>
    </row>
    <row r="99" ht="14.5" customHeight="1" spans="2:24">
      <c r="B99" s="6" t="str">
        <f t="shared" si="1"/>
        <v>43115-DT1EJ20250101-A-JIEU8015558-PARTS</v>
      </c>
      <c r="C99" t="s">
        <v>80</v>
      </c>
      <c r="D99" t="s">
        <v>81</v>
      </c>
      <c r="E99" t="s">
        <v>82</v>
      </c>
      <c r="F99" t="s">
        <v>83</v>
      </c>
      <c r="G99" s="1" t="s">
        <v>84</v>
      </c>
      <c r="I99" s="1" t="s">
        <v>85</v>
      </c>
      <c r="J99" s="1" t="s">
        <v>96</v>
      </c>
      <c r="K99" s="1" t="s">
        <v>90</v>
      </c>
      <c r="L99">
        <v>8708299009</v>
      </c>
      <c r="M99" s="2" t="s">
        <v>91</v>
      </c>
      <c r="N99" s="3" t="s">
        <v>92</v>
      </c>
      <c r="O99" s="1">
        <v>1</v>
      </c>
      <c r="P99" s="4">
        <v>20</v>
      </c>
      <c r="Q99" s="4">
        <v>1.6</v>
      </c>
      <c r="R99" s="4">
        <v>0.05</v>
      </c>
      <c r="S99" s="4">
        <v>21.65</v>
      </c>
      <c r="T99" s="5">
        <v>0.633</v>
      </c>
      <c r="U99" s="5">
        <v>0.633</v>
      </c>
      <c r="V99" s="5">
        <v>0.91</v>
      </c>
      <c r="W99" s="5">
        <v>0.91</v>
      </c>
      <c r="X99" s="4">
        <v>21.65</v>
      </c>
    </row>
    <row r="100" ht="14.5" customHeight="1" spans="2:24">
      <c r="B100" s="6" t="str">
        <f t="shared" si="1"/>
        <v>43115-DT1EJ20250101-A-JIEU8015558-PARTS</v>
      </c>
      <c r="C100" t="s">
        <v>80</v>
      </c>
      <c r="D100" t="s">
        <v>81</v>
      </c>
      <c r="E100" t="s">
        <v>82</v>
      </c>
      <c r="F100" t="s">
        <v>83</v>
      </c>
      <c r="G100" s="1" t="s">
        <v>84</v>
      </c>
      <c r="I100" s="1" t="s">
        <v>85</v>
      </c>
      <c r="J100" s="1" t="s">
        <v>96</v>
      </c>
      <c r="K100" s="1" t="s">
        <v>93</v>
      </c>
      <c r="L100">
        <v>8708299009</v>
      </c>
      <c r="M100" s="2" t="s">
        <v>94</v>
      </c>
      <c r="N100" s="3" t="s">
        <v>95</v>
      </c>
      <c r="O100" s="1">
        <v>1</v>
      </c>
      <c r="P100" s="4">
        <v>19.64</v>
      </c>
      <c r="Q100" s="4">
        <v>1.57</v>
      </c>
      <c r="R100" s="4">
        <v>0.05</v>
      </c>
      <c r="S100" s="4">
        <v>21.26</v>
      </c>
      <c r="T100" s="5">
        <v>0.622</v>
      </c>
      <c r="U100" s="5">
        <v>0.622</v>
      </c>
      <c r="V100" s="5">
        <v>0.9</v>
      </c>
      <c r="W100" s="5">
        <v>0.9</v>
      </c>
      <c r="X100" s="4">
        <v>21.26</v>
      </c>
    </row>
    <row r="101" ht="14.5" customHeight="1" spans="2:24">
      <c r="B101" s="6" t="str">
        <f t="shared" si="1"/>
        <v>43115-DT1EJ20250101-A-JIEU8015558-PARTS</v>
      </c>
      <c r="C101" t="s">
        <v>80</v>
      </c>
      <c r="D101" t="s">
        <v>81</v>
      </c>
      <c r="E101" t="s">
        <v>82</v>
      </c>
      <c r="F101" t="s">
        <v>83</v>
      </c>
      <c r="G101" s="1" t="s">
        <v>84</v>
      </c>
      <c r="I101" s="1" t="s">
        <v>85</v>
      </c>
      <c r="J101" s="1" t="s">
        <v>96</v>
      </c>
      <c r="K101" s="1" t="s">
        <v>87</v>
      </c>
      <c r="L101">
        <v>8708999709</v>
      </c>
      <c r="M101" s="2" t="s">
        <v>88</v>
      </c>
      <c r="N101" s="3" t="s">
        <v>89</v>
      </c>
      <c r="O101" s="1">
        <v>1</v>
      </c>
      <c r="P101" s="4">
        <v>831.11</v>
      </c>
      <c r="Q101" s="4">
        <v>66.62</v>
      </c>
      <c r="R101" s="4">
        <v>1.92</v>
      </c>
      <c r="S101" s="4">
        <v>899.65</v>
      </c>
      <c r="T101" s="5">
        <v>7.824</v>
      </c>
      <c r="U101" s="5">
        <v>7.824</v>
      </c>
      <c r="V101" s="5">
        <v>11.27</v>
      </c>
      <c r="W101" s="5">
        <v>11.27</v>
      </c>
      <c r="X101" s="4">
        <v>899.65</v>
      </c>
    </row>
    <row r="102" ht="14.5" customHeight="1" spans="2:24">
      <c r="B102" s="6" t="str">
        <f t="shared" si="1"/>
        <v>43115-DT1EJ20250101-A-JIEU8015558-PARTS</v>
      </c>
      <c r="C102" t="s">
        <v>80</v>
      </c>
      <c r="D102" t="s">
        <v>81</v>
      </c>
      <c r="E102" t="s">
        <v>82</v>
      </c>
      <c r="F102" t="s">
        <v>83</v>
      </c>
      <c r="G102" s="1" t="s">
        <v>84</v>
      </c>
      <c r="I102" s="1" t="s">
        <v>85</v>
      </c>
      <c r="J102" s="1" t="s">
        <v>96</v>
      </c>
      <c r="K102" s="1" t="s">
        <v>90</v>
      </c>
      <c r="L102">
        <v>8708299009</v>
      </c>
      <c r="M102" s="2" t="s">
        <v>91</v>
      </c>
      <c r="N102" s="3" t="s">
        <v>92</v>
      </c>
      <c r="O102" s="1">
        <v>1</v>
      </c>
      <c r="P102" s="4">
        <v>20</v>
      </c>
      <c r="Q102" s="4">
        <v>1.6</v>
      </c>
      <c r="R102" s="4">
        <v>0.05</v>
      </c>
      <c r="S102" s="4">
        <v>21.65</v>
      </c>
      <c r="T102" s="5">
        <v>0.633</v>
      </c>
      <c r="U102" s="5">
        <v>0.633</v>
      </c>
      <c r="V102" s="5">
        <v>0.91</v>
      </c>
      <c r="W102" s="5">
        <v>0.91</v>
      </c>
      <c r="X102" s="4">
        <v>21.65</v>
      </c>
    </row>
    <row r="103" ht="14.5" customHeight="1" spans="2:24">
      <c r="B103" s="6" t="str">
        <f t="shared" si="1"/>
        <v>43115-DT1EJ20250101-A-JIEU8015558-PARTS</v>
      </c>
      <c r="C103" t="s">
        <v>80</v>
      </c>
      <c r="D103" t="s">
        <v>81</v>
      </c>
      <c r="E103" t="s">
        <v>82</v>
      </c>
      <c r="F103" t="s">
        <v>83</v>
      </c>
      <c r="G103" s="1" t="s">
        <v>84</v>
      </c>
      <c r="I103" s="1" t="s">
        <v>85</v>
      </c>
      <c r="J103" s="1" t="s">
        <v>96</v>
      </c>
      <c r="K103" s="1" t="s">
        <v>93</v>
      </c>
      <c r="L103">
        <v>8708299009</v>
      </c>
      <c r="M103" s="2" t="s">
        <v>94</v>
      </c>
      <c r="N103" s="3" t="s">
        <v>95</v>
      </c>
      <c r="O103" s="1">
        <v>1</v>
      </c>
      <c r="P103" s="4">
        <v>19.64</v>
      </c>
      <c r="Q103" s="4">
        <v>1.57</v>
      </c>
      <c r="R103" s="4">
        <v>0.05</v>
      </c>
      <c r="S103" s="4">
        <v>21.26</v>
      </c>
      <c r="T103" s="5">
        <v>0.622</v>
      </c>
      <c r="U103" s="5">
        <v>0.622</v>
      </c>
      <c r="V103" s="5">
        <v>0.9</v>
      </c>
      <c r="W103" s="5">
        <v>0.9</v>
      </c>
      <c r="X103" s="4">
        <v>21.26</v>
      </c>
    </row>
    <row r="104" ht="14.5" customHeight="1" spans="2:24">
      <c r="B104" s="6" t="str">
        <f t="shared" si="1"/>
        <v>43115-DT1EJ20250101-A-JIEU8015558-PARTS</v>
      </c>
      <c r="C104" t="s">
        <v>80</v>
      </c>
      <c r="D104" t="s">
        <v>81</v>
      </c>
      <c r="E104" t="s">
        <v>82</v>
      </c>
      <c r="F104" t="s">
        <v>83</v>
      </c>
      <c r="G104" s="1" t="s">
        <v>84</v>
      </c>
      <c r="I104" s="1" t="s">
        <v>85</v>
      </c>
      <c r="J104" s="1" t="s">
        <v>96</v>
      </c>
      <c r="K104" s="1" t="s">
        <v>87</v>
      </c>
      <c r="L104">
        <v>8708999709</v>
      </c>
      <c r="M104" s="2" t="s">
        <v>88</v>
      </c>
      <c r="N104" s="3" t="s">
        <v>89</v>
      </c>
      <c r="O104" s="1">
        <v>1</v>
      </c>
      <c r="P104" s="4">
        <v>831.11</v>
      </c>
      <c r="Q104" s="4">
        <v>66.62</v>
      </c>
      <c r="R104" s="4">
        <v>1.92</v>
      </c>
      <c r="S104" s="4">
        <v>899.65</v>
      </c>
      <c r="T104" s="5">
        <v>7.824</v>
      </c>
      <c r="U104" s="5">
        <v>7.824</v>
      </c>
      <c r="V104" s="5">
        <v>11.27</v>
      </c>
      <c r="W104" s="5">
        <v>11.27</v>
      </c>
      <c r="X104" s="4">
        <v>899.65</v>
      </c>
    </row>
    <row r="105" ht="14.5" customHeight="1" spans="2:24">
      <c r="B105" s="6" t="str">
        <f t="shared" si="1"/>
        <v>43115-DT1EJ20250101-A-JIEU8015558-PARTS</v>
      </c>
      <c r="C105" t="s">
        <v>80</v>
      </c>
      <c r="D105" t="s">
        <v>81</v>
      </c>
      <c r="E105" t="s">
        <v>82</v>
      </c>
      <c r="F105" t="s">
        <v>83</v>
      </c>
      <c r="G105" s="1" t="s">
        <v>84</v>
      </c>
      <c r="I105" s="1" t="s">
        <v>85</v>
      </c>
      <c r="J105" s="1" t="s">
        <v>96</v>
      </c>
      <c r="K105" s="1" t="s">
        <v>90</v>
      </c>
      <c r="L105">
        <v>8708299009</v>
      </c>
      <c r="M105" s="2" t="s">
        <v>91</v>
      </c>
      <c r="N105" s="3" t="s">
        <v>92</v>
      </c>
      <c r="O105" s="1">
        <v>1</v>
      </c>
      <c r="P105" s="4">
        <v>20</v>
      </c>
      <c r="Q105" s="4">
        <v>1.6</v>
      </c>
      <c r="R105" s="4">
        <v>0.05</v>
      </c>
      <c r="S105" s="4">
        <v>21.65</v>
      </c>
      <c r="T105" s="5">
        <v>0.633</v>
      </c>
      <c r="U105" s="5">
        <v>0.633</v>
      </c>
      <c r="V105" s="5">
        <v>0.91</v>
      </c>
      <c r="W105" s="5">
        <v>0.91</v>
      </c>
      <c r="X105" s="4">
        <v>21.65</v>
      </c>
    </row>
    <row r="106" ht="14.5" customHeight="1" spans="2:24">
      <c r="B106" s="6" t="str">
        <f t="shared" si="1"/>
        <v>43115-DT1EJ20250101-A-JIEU8015558-PARTS</v>
      </c>
      <c r="C106" t="s">
        <v>80</v>
      </c>
      <c r="D106" t="s">
        <v>81</v>
      </c>
      <c r="E106" t="s">
        <v>82</v>
      </c>
      <c r="F106" t="s">
        <v>83</v>
      </c>
      <c r="G106" s="1" t="s">
        <v>84</v>
      </c>
      <c r="I106" s="1" t="s">
        <v>85</v>
      </c>
      <c r="J106" s="1" t="s">
        <v>96</v>
      </c>
      <c r="K106" s="1" t="s">
        <v>93</v>
      </c>
      <c r="L106">
        <v>8708299009</v>
      </c>
      <c r="M106" s="2" t="s">
        <v>94</v>
      </c>
      <c r="N106" s="3" t="s">
        <v>95</v>
      </c>
      <c r="O106" s="1">
        <v>1</v>
      </c>
      <c r="P106" s="4">
        <v>19.64</v>
      </c>
      <c r="Q106" s="4">
        <v>1.57</v>
      </c>
      <c r="R106" s="4">
        <v>0.05</v>
      </c>
      <c r="S106" s="4">
        <v>21.26</v>
      </c>
      <c r="T106" s="5">
        <v>0.622</v>
      </c>
      <c r="U106" s="5">
        <v>0.622</v>
      </c>
      <c r="V106" s="5">
        <v>0.9</v>
      </c>
      <c r="W106" s="5">
        <v>0.9</v>
      </c>
      <c r="X106" s="4">
        <v>21.26</v>
      </c>
    </row>
    <row r="107" ht="14.5" customHeight="1" spans="2:24">
      <c r="B107" s="6" t="str">
        <f t="shared" si="1"/>
        <v>43115-DT1EJ20250101-A-JIEU8015558-PARTS</v>
      </c>
      <c r="C107" t="s">
        <v>80</v>
      </c>
      <c r="D107" t="s">
        <v>81</v>
      </c>
      <c r="E107" t="s">
        <v>82</v>
      </c>
      <c r="F107" t="s">
        <v>83</v>
      </c>
      <c r="G107" s="1" t="s">
        <v>84</v>
      </c>
      <c r="I107" s="1" t="s">
        <v>85</v>
      </c>
      <c r="J107" s="1" t="s">
        <v>96</v>
      </c>
      <c r="K107" s="1" t="s">
        <v>87</v>
      </c>
      <c r="L107">
        <v>8708999709</v>
      </c>
      <c r="M107" s="2" t="s">
        <v>88</v>
      </c>
      <c r="N107" s="3" t="s">
        <v>89</v>
      </c>
      <c r="O107" s="1">
        <v>1</v>
      </c>
      <c r="P107" s="4">
        <v>831.11</v>
      </c>
      <c r="Q107" s="4">
        <v>66.62</v>
      </c>
      <c r="R107" s="4">
        <v>1.92</v>
      </c>
      <c r="S107" s="4">
        <v>899.65</v>
      </c>
      <c r="T107" s="5">
        <v>7.824</v>
      </c>
      <c r="U107" s="5">
        <v>7.824</v>
      </c>
      <c r="V107" s="5">
        <v>11.27</v>
      </c>
      <c r="W107" s="5">
        <v>11.27</v>
      </c>
      <c r="X107" s="4">
        <v>899.65</v>
      </c>
    </row>
    <row r="108" ht="14.5" customHeight="1" spans="2:24">
      <c r="B108" s="6" t="str">
        <f t="shared" si="1"/>
        <v>43115-DT1EJ20250101-A-JIEU8015558-PARTS</v>
      </c>
      <c r="C108" t="s">
        <v>80</v>
      </c>
      <c r="D108" t="s">
        <v>81</v>
      </c>
      <c r="E108" t="s">
        <v>82</v>
      </c>
      <c r="F108" t="s">
        <v>83</v>
      </c>
      <c r="G108" s="1" t="s">
        <v>84</v>
      </c>
      <c r="I108" s="1" t="s">
        <v>85</v>
      </c>
      <c r="J108" s="1" t="s">
        <v>96</v>
      </c>
      <c r="K108" s="1" t="s">
        <v>90</v>
      </c>
      <c r="L108">
        <v>8708299009</v>
      </c>
      <c r="M108" s="2" t="s">
        <v>91</v>
      </c>
      <c r="N108" s="3" t="s">
        <v>92</v>
      </c>
      <c r="O108" s="1">
        <v>1</v>
      </c>
      <c r="P108" s="4">
        <v>20</v>
      </c>
      <c r="Q108" s="4">
        <v>1.6</v>
      </c>
      <c r="R108" s="4">
        <v>0.05</v>
      </c>
      <c r="S108" s="4">
        <v>21.65</v>
      </c>
      <c r="T108" s="5">
        <v>0.633</v>
      </c>
      <c r="U108" s="5">
        <v>0.633</v>
      </c>
      <c r="V108" s="5">
        <v>0.91</v>
      </c>
      <c r="W108" s="5">
        <v>0.91</v>
      </c>
      <c r="X108" s="4">
        <v>21.65</v>
      </c>
    </row>
    <row r="109" ht="14.5" customHeight="1" spans="2:24">
      <c r="B109" s="6" t="str">
        <f t="shared" si="1"/>
        <v>43115-DT1EJ20250101-A-JIEU8015558-PARTS</v>
      </c>
      <c r="C109" t="s">
        <v>80</v>
      </c>
      <c r="D109" t="s">
        <v>81</v>
      </c>
      <c r="E109" t="s">
        <v>82</v>
      </c>
      <c r="F109" t="s">
        <v>83</v>
      </c>
      <c r="G109" s="1" t="s">
        <v>84</v>
      </c>
      <c r="I109" s="1" t="s">
        <v>85</v>
      </c>
      <c r="J109" s="1" t="s">
        <v>96</v>
      </c>
      <c r="K109" s="1" t="s">
        <v>93</v>
      </c>
      <c r="L109">
        <v>8708299009</v>
      </c>
      <c r="M109" s="2" t="s">
        <v>94</v>
      </c>
      <c r="N109" s="3" t="s">
        <v>95</v>
      </c>
      <c r="O109" s="1">
        <v>1</v>
      </c>
      <c r="P109" s="4">
        <v>19.64</v>
      </c>
      <c r="Q109" s="4">
        <v>1.57</v>
      </c>
      <c r="R109" s="4">
        <v>0.05</v>
      </c>
      <c r="S109" s="4">
        <v>21.26</v>
      </c>
      <c r="T109" s="5">
        <v>0.622</v>
      </c>
      <c r="U109" s="5">
        <v>0.622</v>
      </c>
      <c r="V109" s="5">
        <v>0.9</v>
      </c>
      <c r="W109" s="5">
        <v>0.9</v>
      </c>
      <c r="X109" s="4">
        <v>21.26</v>
      </c>
    </row>
    <row r="110" ht="14.5" customHeight="1" spans="2:24">
      <c r="B110" s="6" t="str">
        <f t="shared" si="1"/>
        <v>43115-DT1EJ20250101-A-JIEU8015558-PARTS</v>
      </c>
      <c r="C110" t="s">
        <v>80</v>
      </c>
      <c r="D110" t="s">
        <v>81</v>
      </c>
      <c r="E110" t="s">
        <v>82</v>
      </c>
      <c r="F110" t="s">
        <v>83</v>
      </c>
      <c r="G110" s="1" t="s">
        <v>84</v>
      </c>
      <c r="I110" s="1" t="s">
        <v>85</v>
      </c>
      <c r="J110" s="1" t="s">
        <v>96</v>
      </c>
      <c r="K110" s="1" t="s">
        <v>87</v>
      </c>
      <c r="L110">
        <v>8708999709</v>
      </c>
      <c r="M110" s="2" t="s">
        <v>88</v>
      </c>
      <c r="N110" s="3" t="s">
        <v>89</v>
      </c>
      <c r="O110" s="1">
        <v>1</v>
      </c>
      <c r="P110" s="4">
        <v>831.11</v>
      </c>
      <c r="Q110" s="4">
        <v>66.62</v>
      </c>
      <c r="R110" s="4">
        <v>1.92</v>
      </c>
      <c r="S110" s="4">
        <v>899.65</v>
      </c>
      <c r="T110" s="5">
        <v>7.824</v>
      </c>
      <c r="U110" s="5">
        <v>7.824</v>
      </c>
      <c r="V110" s="5">
        <v>11.27</v>
      </c>
      <c r="W110" s="5">
        <v>11.27</v>
      </c>
      <c r="X110" s="4">
        <v>899.65</v>
      </c>
    </row>
    <row r="111" ht="14.5" customHeight="1" spans="2:24">
      <c r="B111" s="6" t="str">
        <f t="shared" si="1"/>
        <v>43115-DT1EJ20250101-A-JIEU8015558-PARTS</v>
      </c>
      <c r="C111" t="s">
        <v>80</v>
      </c>
      <c r="D111" t="s">
        <v>81</v>
      </c>
      <c r="E111" t="s">
        <v>82</v>
      </c>
      <c r="F111" t="s">
        <v>83</v>
      </c>
      <c r="G111" s="1" t="s">
        <v>84</v>
      </c>
      <c r="I111" s="1" t="s">
        <v>85</v>
      </c>
      <c r="J111" s="1" t="s">
        <v>96</v>
      </c>
      <c r="K111" s="1" t="s">
        <v>90</v>
      </c>
      <c r="L111">
        <v>8708299009</v>
      </c>
      <c r="M111" s="2" t="s">
        <v>91</v>
      </c>
      <c r="N111" s="3" t="s">
        <v>92</v>
      </c>
      <c r="O111" s="1">
        <v>1</v>
      </c>
      <c r="P111" s="4">
        <v>20</v>
      </c>
      <c r="Q111" s="4">
        <v>1.6</v>
      </c>
      <c r="R111" s="4">
        <v>0.05</v>
      </c>
      <c r="S111" s="4">
        <v>21.65</v>
      </c>
      <c r="T111" s="5">
        <v>0.633</v>
      </c>
      <c r="U111" s="5">
        <v>0.633</v>
      </c>
      <c r="V111" s="5">
        <v>0.91</v>
      </c>
      <c r="W111" s="5">
        <v>0.91</v>
      </c>
      <c r="X111" s="4">
        <v>21.65</v>
      </c>
    </row>
    <row r="112" ht="14.5" customHeight="1" spans="2:24">
      <c r="B112" s="6" t="str">
        <f t="shared" si="1"/>
        <v>43115-DT1EJ20250101-A-JIEU8015558-PARTS</v>
      </c>
      <c r="C112" t="s">
        <v>80</v>
      </c>
      <c r="D112" t="s">
        <v>81</v>
      </c>
      <c r="E112" t="s">
        <v>82</v>
      </c>
      <c r="F112" t="s">
        <v>83</v>
      </c>
      <c r="G112" s="1" t="s">
        <v>84</v>
      </c>
      <c r="I112" s="1" t="s">
        <v>85</v>
      </c>
      <c r="J112" s="1" t="s">
        <v>96</v>
      </c>
      <c r="K112" s="1" t="s">
        <v>93</v>
      </c>
      <c r="L112">
        <v>8708299009</v>
      </c>
      <c r="M112" s="2" t="s">
        <v>94</v>
      </c>
      <c r="N112" s="3" t="s">
        <v>95</v>
      </c>
      <c r="O112" s="1">
        <v>1</v>
      </c>
      <c r="P112" s="4">
        <v>19.64</v>
      </c>
      <c r="Q112" s="4">
        <v>1.57</v>
      </c>
      <c r="R112" s="4">
        <v>0.05</v>
      </c>
      <c r="S112" s="4">
        <v>21.26</v>
      </c>
      <c r="T112" s="5">
        <v>0.622</v>
      </c>
      <c r="U112" s="5">
        <v>0.622</v>
      </c>
      <c r="V112" s="5">
        <v>0.9</v>
      </c>
      <c r="W112" s="5">
        <v>0.9</v>
      </c>
      <c r="X112" s="4">
        <v>21.26</v>
      </c>
    </row>
    <row r="113" ht="14.5" customHeight="1" spans="2:24">
      <c r="B113" s="6" t="str">
        <f t="shared" si="1"/>
        <v>43115-DT1EJ20250101-A-JIEU8015558-PARTS</v>
      </c>
      <c r="C113" t="s">
        <v>80</v>
      </c>
      <c r="D113" t="s">
        <v>81</v>
      </c>
      <c r="E113" t="s">
        <v>82</v>
      </c>
      <c r="F113" t="s">
        <v>83</v>
      </c>
      <c r="G113" s="1" t="s">
        <v>84</v>
      </c>
      <c r="I113" s="1" t="s">
        <v>85</v>
      </c>
      <c r="J113" s="1" t="s">
        <v>96</v>
      </c>
      <c r="K113" s="1" t="s">
        <v>87</v>
      </c>
      <c r="L113">
        <v>8708999709</v>
      </c>
      <c r="M113" s="2" t="s">
        <v>88</v>
      </c>
      <c r="N113" s="3" t="s">
        <v>89</v>
      </c>
      <c r="O113" s="1">
        <v>1</v>
      </c>
      <c r="P113" s="4">
        <v>831.11</v>
      </c>
      <c r="Q113" s="4">
        <v>66.62</v>
      </c>
      <c r="R113" s="4">
        <v>1.92</v>
      </c>
      <c r="S113" s="4">
        <v>899.65</v>
      </c>
      <c r="T113" s="5">
        <v>7.824</v>
      </c>
      <c r="U113" s="5">
        <v>7.824</v>
      </c>
      <c r="V113" s="5">
        <v>11.27</v>
      </c>
      <c r="W113" s="5">
        <v>11.27</v>
      </c>
      <c r="X113" s="4">
        <v>899.65</v>
      </c>
    </row>
    <row r="114" ht="14.5" customHeight="1" spans="2:24">
      <c r="B114" s="6" t="str">
        <f t="shared" si="1"/>
        <v>43115-DT1EJ20250101-A-JIEU8015558-PARTS</v>
      </c>
      <c r="C114" t="s">
        <v>80</v>
      </c>
      <c r="D114" t="s">
        <v>81</v>
      </c>
      <c r="E114" t="s">
        <v>82</v>
      </c>
      <c r="F114" t="s">
        <v>83</v>
      </c>
      <c r="G114" s="1" t="s">
        <v>84</v>
      </c>
      <c r="I114" s="1" t="s">
        <v>85</v>
      </c>
      <c r="J114" s="1" t="s">
        <v>96</v>
      </c>
      <c r="K114" s="1" t="s">
        <v>90</v>
      </c>
      <c r="L114">
        <v>8708299009</v>
      </c>
      <c r="M114" s="2" t="s">
        <v>91</v>
      </c>
      <c r="N114" s="3" t="s">
        <v>92</v>
      </c>
      <c r="O114" s="1">
        <v>1</v>
      </c>
      <c r="P114" s="4">
        <v>20</v>
      </c>
      <c r="Q114" s="4">
        <v>1.6</v>
      </c>
      <c r="R114" s="4">
        <v>0.05</v>
      </c>
      <c r="S114" s="4">
        <v>21.65</v>
      </c>
      <c r="T114" s="5">
        <v>0.633</v>
      </c>
      <c r="U114" s="5">
        <v>0.633</v>
      </c>
      <c r="V114" s="5">
        <v>0.91</v>
      </c>
      <c r="W114" s="5">
        <v>0.91</v>
      </c>
      <c r="X114" s="4">
        <v>21.65</v>
      </c>
    </row>
    <row r="115" ht="14.5" customHeight="1" spans="2:24">
      <c r="B115" s="6" t="str">
        <f t="shared" si="1"/>
        <v>43115-DT1EJ20250101-A-JIEU8015558-PARTS</v>
      </c>
      <c r="C115" t="s">
        <v>80</v>
      </c>
      <c r="D115" t="s">
        <v>81</v>
      </c>
      <c r="E115" t="s">
        <v>82</v>
      </c>
      <c r="F115" t="s">
        <v>83</v>
      </c>
      <c r="G115" s="1" t="s">
        <v>84</v>
      </c>
      <c r="I115" s="1" t="s">
        <v>85</v>
      </c>
      <c r="J115" s="1" t="s">
        <v>96</v>
      </c>
      <c r="K115" s="1" t="s">
        <v>93</v>
      </c>
      <c r="L115">
        <v>8708299009</v>
      </c>
      <c r="M115" s="2" t="s">
        <v>94</v>
      </c>
      <c r="N115" s="3" t="s">
        <v>95</v>
      </c>
      <c r="O115" s="1">
        <v>1</v>
      </c>
      <c r="P115" s="4">
        <v>19.64</v>
      </c>
      <c r="Q115" s="4">
        <v>1.57</v>
      </c>
      <c r="R115" s="4">
        <v>0.05</v>
      </c>
      <c r="S115" s="4">
        <v>21.26</v>
      </c>
      <c r="T115" s="5">
        <v>0.622</v>
      </c>
      <c r="U115" s="5">
        <v>0.622</v>
      </c>
      <c r="V115" s="5">
        <v>0.9</v>
      </c>
      <c r="W115" s="5">
        <v>0.9</v>
      </c>
      <c r="X115" s="4">
        <v>21.26</v>
      </c>
    </row>
    <row r="116" ht="14.5" customHeight="1" spans="2:24">
      <c r="B116" s="6" t="str">
        <f t="shared" si="1"/>
        <v>43115-DT1EJ20250101-A-JIEU8015558-PARTS</v>
      </c>
      <c r="C116" t="s">
        <v>80</v>
      </c>
      <c r="D116" t="s">
        <v>81</v>
      </c>
      <c r="E116" t="s">
        <v>82</v>
      </c>
      <c r="F116" t="s">
        <v>83</v>
      </c>
      <c r="G116" s="1" t="s">
        <v>84</v>
      </c>
      <c r="I116" s="1" t="s">
        <v>85</v>
      </c>
      <c r="J116" s="1" t="s">
        <v>96</v>
      </c>
      <c r="K116" s="1" t="s">
        <v>87</v>
      </c>
      <c r="L116">
        <v>8708999709</v>
      </c>
      <c r="M116" s="2" t="s">
        <v>88</v>
      </c>
      <c r="N116" s="3" t="s">
        <v>89</v>
      </c>
      <c r="O116" s="1">
        <v>1</v>
      </c>
      <c r="P116" s="4">
        <v>831.11</v>
      </c>
      <c r="Q116" s="4">
        <v>66.62</v>
      </c>
      <c r="R116" s="4">
        <v>1.92</v>
      </c>
      <c r="S116" s="4">
        <v>899.65</v>
      </c>
      <c r="T116" s="5">
        <v>7.824</v>
      </c>
      <c r="U116" s="5">
        <v>7.824</v>
      </c>
      <c r="V116" s="5">
        <v>11.27</v>
      </c>
      <c r="W116" s="5">
        <v>11.27</v>
      </c>
      <c r="X116" s="4">
        <v>899.65</v>
      </c>
    </row>
    <row r="117" ht="14.5" customHeight="1" spans="2:24">
      <c r="B117" s="6" t="str">
        <f t="shared" si="1"/>
        <v>43115-DT1EJ20250101-A-JIEU8015558-PARTS</v>
      </c>
      <c r="C117" t="s">
        <v>80</v>
      </c>
      <c r="D117" t="s">
        <v>81</v>
      </c>
      <c r="E117" t="s">
        <v>82</v>
      </c>
      <c r="F117" t="s">
        <v>83</v>
      </c>
      <c r="G117" s="1" t="s">
        <v>84</v>
      </c>
      <c r="I117" s="1" t="s">
        <v>85</v>
      </c>
      <c r="J117" s="1" t="s">
        <v>96</v>
      </c>
      <c r="K117" s="1" t="s">
        <v>90</v>
      </c>
      <c r="L117">
        <v>8708299009</v>
      </c>
      <c r="M117" s="2" t="s">
        <v>91</v>
      </c>
      <c r="N117" s="3" t="s">
        <v>92</v>
      </c>
      <c r="O117" s="1">
        <v>1</v>
      </c>
      <c r="P117" s="4">
        <v>20</v>
      </c>
      <c r="Q117" s="4">
        <v>1.6</v>
      </c>
      <c r="R117" s="4">
        <v>0.05</v>
      </c>
      <c r="S117" s="4">
        <v>21.65</v>
      </c>
      <c r="T117" s="5">
        <v>0.633</v>
      </c>
      <c r="U117" s="5">
        <v>0.633</v>
      </c>
      <c r="V117" s="5">
        <v>0.91</v>
      </c>
      <c r="W117" s="5">
        <v>0.91</v>
      </c>
      <c r="X117" s="4">
        <v>21.65</v>
      </c>
    </row>
    <row r="118" ht="14.5" customHeight="1" spans="2:24">
      <c r="B118" s="6" t="str">
        <f t="shared" si="1"/>
        <v>43115-DT1EJ20250101-A-JIEU8015558-PARTS</v>
      </c>
      <c r="C118" t="s">
        <v>80</v>
      </c>
      <c r="D118" t="s">
        <v>81</v>
      </c>
      <c r="E118" t="s">
        <v>82</v>
      </c>
      <c r="F118" t="s">
        <v>83</v>
      </c>
      <c r="G118" s="1" t="s">
        <v>84</v>
      </c>
      <c r="I118" s="1" t="s">
        <v>85</v>
      </c>
      <c r="J118" s="1" t="s">
        <v>96</v>
      </c>
      <c r="K118" s="1" t="s">
        <v>93</v>
      </c>
      <c r="L118">
        <v>8708299009</v>
      </c>
      <c r="M118" s="2" t="s">
        <v>94</v>
      </c>
      <c r="N118" s="3" t="s">
        <v>95</v>
      </c>
      <c r="O118" s="1">
        <v>1</v>
      </c>
      <c r="P118" s="4">
        <v>19.64</v>
      </c>
      <c r="Q118" s="4">
        <v>1.57</v>
      </c>
      <c r="R118" s="4">
        <v>0.05</v>
      </c>
      <c r="S118" s="4">
        <v>21.26</v>
      </c>
      <c r="T118" s="5">
        <v>0.622</v>
      </c>
      <c r="U118" s="5">
        <v>0.622</v>
      </c>
      <c r="V118" s="5">
        <v>0.9</v>
      </c>
      <c r="W118" s="5">
        <v>0.9</v>
      </c>
      <c r="X118" s="4">
        <v>21.26</v>
      </c>
    </row>
    <row r="119" ht="14.5" customHeight="1" spans="2:24">
      <c r="B119" s="6" t="str">
        <f t="shared" si="1"/>
        <v>43115-DT1EJ20250101-A-JIEU8015558-PARTS</v>
      </c>
      <c r="C119" t="s">
        <v>80</v>
      </c>
      <c r="D119" t="s">
        <v>81</v>
      </c>
      <c r="E119" t="s">
        <v>82</v>
      </c>
      <c r="F119" t="s">
        <v>83</v>
      </c>
      <c r="G119" s="1" t="s">
        <v>84</v>
      </c>
      <c r="I119" s="1" t="s">
        <v>85</v>
      </c>
      <c r="J119" s="1" t="s">
        <v>96</v>
      </c>
      <c r="K119" s="1" t="s">
        <v>87</v>
      </c>
      <c r="L119">
        <v>8708999709</v>
      </c>
      <c r="M119" s="2" t="s">
        <v>88</v>
      </c>
      <c r="N119" s="3" t="s">
        <v>89</v>
      </c>
      <c r="O119" s="1">
        <v>1</v>
      </c>
      <c r="P119" s="4">
        <v>831.11</v>
      </c>
      <c r="Q119" s="4">
        <v>66.62</v>
      </c>
      <c r="R119" s="4">
        <v>1.92</v>
      </c>
      <c r="S119" s="4">
        <v>899.65</v>
      </c>
      <c r="T119" s="5">
        <v>7.824</v>
      </c>
      <c r="U119" s="5">
        <v>7.824</v>
      </c>
      <c r="V119" s="5">
        <v>11.27</v>
      </c>
      <c r="W119" s="5">
        <v>11.27</v>
      </c>
      <c r="X119" s="4">
        <v>899.65</v>
      </c>
    </row>
    <row r="120" ht="14.5" customHeight="1" spans="2:24">
      <c r="B120" s="6" t="str">
        <f t="shared" si="1"/>
        <v>43115-DT1EJ20250101-A-JIEU8015558-PARTS</v>
      </c>
      <c r="C120" t="s">
        <v>80</v>
      </c>
      <c r="D120" t="s">
        <v>81</v>
      </c>
      <c r="E120" t="s">
        <v>82</v>
      </c>
      <c r="F120" t="s">
        <v>83</v>
      </c>
      <c r="G120" s="1" t="s">
        <v>84</v>
      </c>
      <c r="I120" s="1" t="s">
        <v>85</v>
      </c>
      <c r="J120" s="1" t="s">
        <v>96</v>
      </c>
      <c r="K120" s="1" t="s">
        <v>90</v>
      </c>
      <c r="L120">
        <v>8708299009</v>
      </c>
      <c r="M120" s="2" t="s">
        <v>91</v>
      </c>
      <c r="N120" s="3" t="s">
        <v>92</v>
      </c>
      <c r="O120" s="1">
        <v>1</v>
      </c>
      <c r="P120" s="4">
        <v>20</v>
      </c>
      <c r="Q120" s="4">
        <v>1.6</v>
      </c>
      <c r="R120" s="4">
        <v>0.05</v>
      </c>
      <c r="S120" s="4">
        <v>21.65</v>
      </c>
      <c r="T120" s="5">
        <v>0.633</v>
      </c>
      <c r="U120" s="5">
        <v>0.633</v>
      </c>
      <c r="V120" s="5">
        <v>0.91</v>
      </c>
      <c r="W120" s="5">
        <v>0.91</v>
      </c>
      <c r="X120" s="4">
        <v>21.65</v>
      </c>
    </row>
    <row r="121" ht="14.5" customHeight="1" spans="2:24">
      <c r="B121" s="6" t="str">
        <f t="shared" si="1"/>
        <v>43115-DT1EJ20250101-A-JIEU8015558-PARTS</v>
      </c>
      <c r="C121" t="s">
        <v>80</v>
      </c>
      <c r="D121" t="s">
        <v>81</v>
      </c>
      <c r="E121" t="s">
        <v>82</v>
      </c>
      <c r="F121" t="s">
        <v>83</v>
      </c>
      <c r="G121" s="1" t="s">
        <v>84</v>
      </c>
      <c r="I121" s="1" t="s">
        <v>85</v>
      </c>
      <c r="J121" s="1" t="s">
        <v>96</v>
      </c>
      <c r="K121" s="1" t="s">
        <v>93</v>
      </c>
      <c r="L121">
        <v>8708299009</v>
      </c>
      <c r="M121" s="2" t="s">
        <v>94</v>
      </c>
      <c r="N121" s="3" t="s">
        <v>95</v>
      </c>
      <c r="O121" s="1">
        <v>1</v>
      </c>
      <c r="P121" s="4">
        <v>19.64</v>
      </c>
      <c r="Q121" s="4">
        <v>1.57</v>
      </c>
      <c r="R121" s="4">
        <v>0.05</v>
      </c>
      <c r="S121" s="4">
        <v>21.26</v>
      </c>
      <c r="T121" s="5">
        <v>0.622</v>
      </c>
      <c r="U121" s="5">
        <v>0.622</v>
      </c>
      <c r="V121" s="5">
        <v>0.9</v>
      </c>
      <c r="W121" s="5">
        <v>0.9</v>
      </c>
      <c r="X121" s="4">
        <v>21.26</v>
      </c>
    </row>
    <row r="122" ht="14.5" customHeight="1" spans="2:24">
      <c r="B122" s="6" t="str">
        <f t="shared" si="1"/>
        <v>43115-DT1EJ20250101-A-JIEU8015558-PARTS</v>
      </c>
      <c r="C122" t="s">
        <v>80</v>
      </c>
      <c r="D122" t="s">
        <v>81</v>
      </c>
      <c r="E122" t="s">
        <v>82</v>
      </c>
      <c r="F122" t="s">
        <v>83</v>
      </c>
      <c r="G122" s="1" t="s">
        <v>84</v>
      </c>
      <c r="I122" s="1" t="s">
        <v>85</v>
      </c>
      <c r="J122" s="1" t="s">
        <v>96</v>
      </c>
      <c r="K122" s="1" t="s">
        <v>87</v>
      </c>
      <c r="L122">
        <v>8708999709</v>
      </c>
      <c r="M122" s="2" t="s">
        <v>88</v>
      </c>
      <c r="N122" s="3" t="s">
        <v>89</v>
      </c>
      <c r="O122" s="1">
        <v>1</v>
      </c>
      <c r="P122" s="4">
        <v>831.11</v>
      </c>
      <c r="Q122" s="4">
        <v>66.62</v>
      </c>
      <c r="R122" s="4">
        <v>1.92</v>
      </c>
      <c r="S122" s="4">
        <v>899.65</v>
      </c>
      <c r="T122" s="5">
        <v>7.824</v>
      </c>
      <c r="U122" s="5">
        <v>7.824</v>
      </c>
      <c r="V122" s="5">
        <v>11.27</v>
      </c>
      <c r="W122" s="5">
        <v>11.27</v>
      </c>
      <c r="X122" s="4">
        <v>899.65</v>
      </c>
    </row>
    <row r="123" ht="14.5" customHeight="1" spans="2:24">
      <c r="B123" s="6" t="str">
        <f t="shared" si="1"/>
        <v>43115-DT1EJ20250101-A-JIEU8015558-PARTS</v>
      </c>
      <c r="C123" t="s">
        <v>80</v>
      </c>
      <c r="D123" t="s">
        <v>81</v>
      </c>
      <c r="E123" t="s">
        <v>82</v>
      </c>
      <c r="F123" t="s">
        <v>83</v>
      </c>
      <c r="G123" s="1" t="s">
        <v>84</v>
      </c>
      <c r="I123" s="1" t="s">
        <v>85</v>
      </c>
      <c r="J123" s="1" t="s">
        <v>96</v>
      </c>
      <c r="K123" s="1" t="s">
        <v>90</v>
      </c>
      <c r="L123">
        <v>8708299009</v>
      </c>
      <c r="M123" s="2" t="s">
        <v>91</v>
      </c>
      <c r="N123" s="3" t="s">
        <v>92</v>
      </c>
      <c r="O123" s="1">
        <v>1</v>
      </c>
      <c r="P123" s="4">
        <v>20</v>
      </c>
      <c r="Q123" s="4">
        <v>1.6</v>
      </c>
      <c r="R123" s="4">
        <v>0.05</v>
      </c>
      <c r="S123" s="4">
        <v>21.65</v>
      </c>
      <c r="T123" s="5">
        <v>0.633</v>
      </c>
      <c r="U123" s="5">
        <v>0.633</v>
      </c>
      <c r="V123" s="5">
        <v>0.91</v>
      </c>
      <c r="W123" s="5">
        <v>0.91</v>
      </c>
      <c r="X123" s="4">
        <v>21.65</v>
      </c>
    </row>
    <row r="124" ht="14.5" customHeight="1" spans="2:24">
      <c r="B124" s="6" t="str">
        <f t="shared" si="1"/>
        <v>43115-DT1EJ20250101-A-JIEU8015558-PARTS</v>
      </c>
      <c r="C124" t="s">
        <v>80</v>
      </c>
      <c r="D124" t="s">
        <v>81</v>
      </c>
      <c r="E124" t="s">
        <v>82</v>
      </c>
      <c r="F124" t="s">
        <v>83</v>
      </c>
      <c r="G124" s="1" t="s">
        <v>84</v>
      </c>
      <c r="I124" s="1" t="s">
        <v>85</v>
      </c>
      <c r="J124" s="1" t="s">
        <v>96</v>
      </c>
      <c r="K124" s="1" t="s">
        <v>93</v>
      </c>
      <c r="L124">
        <v>8708299009</v>
      </c>
      <c r="M124" s="2" t="s">
        <v>94</v>
      </c>
      <c r="N124" s="3" t="s">
        <v>95</v>
      </c>
      <c r="O124" s="1">
        <v>1</v>
      </c>
      <c r="P124" s="4">
        <v>19.64</v>
      </c>
      <c r="Q124" s="4">
        <v>1.57</v>
      </c>
      <c r="R124" s="4">
        <v>0.05</v>
      </c>
      <c r="S124" s="4">
        <v>21.26</v>
      </c>
      <c r="T124" s="5">
        <v>0.622</v>
      </c>
      <c r="U124" s="5">
        <v>0.622</v>
      </c>
      <c r="V124" s="5">
        <v>0.9</v>
      </c>
      <c r="W124" s="5">
        <v>0.9</v>
      </c>
      <c r="X124" s="4">
        <v>21.26</v>
      </c>
    </row>
    <row r="125" ht="14.5" customHeight="1" spans="2:24">
      <c r="B125" s="6" t="str">
        <f t="shared" si="1"/>
        <v>43115-DT1EJ20250101-A-JIEU8015558-PARTS</v>
      </c>
      <c r="C125" t="s">
        <v>80</v>
      </c>
      <c r="D125" t="s">
        <v>81</v>
      </c>
      <c r="E125" t="s">
        <v>82</v>
      </c>
      <c r="F125" t="s">
        <v>83</v>
      </c>
      <c r="G125" s="1" t="s">
        <v>84</v>
      </c>
      <c r="I125" s="1" t="s">
        <v>85</v>
      </c>
      <c r="J125" s="1" t="s">
        <v>96</v>
      </c>
      <c r="K125" s="1" t="s">
        <v>87</v>
      </c>
      <c r="L125">
        <v>8708999709</v>
      </c>
      <c r="M125" s="2" t="s">
        <v>88</v>
      </c>
      <c r="N125" s="3" t="s">
        <v>89</v>
      </c>
      <c r="O125" s="1">
        <v>1</v>
      </c>
      <c r="P125" s="4">
        <v>831.11</v>
      </c>
      <c r="Q125" s="4">
        <v>66.62</v>
      </c>
      <c r="R125" s="4">
        <v>1.92</v>
      </c>
      <c r="S125" s="4">
        <v>899.65</v>
      </c>
      <c r="T125" s="5">
        <v>7.824</v>
      </c>
      <c r="U125" s="5">
        <v>7.824</v>
      </c>
      <c r="V125" s="5">
        <v>11.27</v>
      </c>
      <c r="W125" s="5">
        <v>11.27</v>
      </c>
      <c r="X125" s="4">
        <v>899.65</v>
      </c>
    </row>
    <row r="126" ht="14.5" customHeight="1" spans="2:24">
      <c r="B126" s="6" t="str">
        <f t="shared" si="1"/>
        <v>43115-DT1EJ20250101-A-JIEU8015558-PARTS</v>
      </c>
      <c r="C126" t="s">
        <v>80</v>
      </c>
      <c r="D126" t="s">
        <v>81</v>
      </c>
      <c r="E126" t="s">
        <v>82</v>
      </c>
      <c r="F126" t="s">
        <v>83</v>
      </c>
      <c r="G126" s="1" t="s">
        <v>84</v>
      </c>
      <c r="I126" s="1" t="s">
        <v>85</v>
      </c>
      <c r="J126" s="1" t="s">
        <v>96</v>
      </c>
      <c r="K126" s="1" t="s">
        <v>90</v>
      </c>
      <c r="L126">
        <v>8708299009</v>
      </c>
      <c r="M126" s="2" t="s">
        <v>91</v>
      </c>
      <c r="N126" s="3" t="s">
        <v>92</v>
      </c>
      <c r="O126" s="1">
        <v>1</v>
      </c>
      <c r="P126" s="4">
        <v>20</v>
      </c>
      <c r="Q126" s="4">
        <v>1.6</v>
      </c>
      <c r="R126" s="4">
        <v>0.05</v>
      </c>
      <c r="S126" s="4">
        <v>21.65</v>
      </c>
      <c r="T126" s="5">
        <v>0.633</v>
      </c>
      <c r="U126" s="5">
        <v>0.633</v>
      </c>
      <c r="V126" s="5">
        <v>0.91</v>
      </c>
      <c r="W126" s="5">
        <v>0.91</v>
      </c>
      <c r="X126" s="4">
        <v>21.65</v>
      </c>
    </row>
    <row r="127" ht="14.5" customHeight="1" spans="2:24">
      <c r="B127" s="6" t="str">
        <f t="shared" si="1"/>
        <v>43115-DT1EJ20250101-A-JIEU8015558-PARTS</v>
      </c>
      <c r="C127" t="s">
        <v>80</v>
      </c>
      <c r="D127" t="s">
        <v>81</v>
      </c>
      <c r="E127" t="s">
        <v>82</v>
      </c>
      <c r="F127" t="s">
        <v>83</v>
      </c>
      <c r="G127" s="1" t="s">
        <v>84</v>
      </c>
      <c r="I127" s="1" t="s">
        <v>85</v>
      </c>
      <c r="J127" s="1" t="s">
        <v>96</v>
      </c>
      <c r="K127" s="1" t="s">
        <v>93</v>
      </c>
      <c r="L127">
        <v>8708299009</v>
      </c>
      <c r="M127" s="2" t="s">
        <v>94</v>
      </c>
      <c r="N127" s="3" t="s">
        <v>95</v>
      </c>
      <c r="O127" s="1">
        <v>1</v>
      </c>
      <c r="P127" s="4">
        <v>19.64</v>
      </c>
      <c r="Q127" s="4">
        <v>1.57</v>
      </c>
      <c r="R127" s="4">
        <v>0.05</v>
      </c>
      <c r="S127" s="4">
        <v>21.26</v>
      </c>
      <c r="T127" s="5">
        <v>0.622</v>
      </c>
      <c r="U127" s="5">
        <v>0.622</v>
      </c>
      <c r="V127" s="5">
        <v>0.9</v>
      </c>
      <c r="W127" s="5">
        <v>0.9</v>
      </c>
      <c r="X127" s="4">
        <v>21.26</v>
      </c>
    </row>
    <row r="128" ht="14.5" customHeight="1" spans="2:24">
      <c r="B128" s="6" t="str">
        <f t="shared" si="1"/>
        <v>43115-DT1EJ20250101-A-JIEU8015558-PARTS</v>
      </c>
      <c r="C128" t="s">
        <v>80</v>
      </c>
      <c r="D128" t="s">
        <v>81</v>
      </c>
      <c r="E128" t="s">
        <v>82</v>
      </c>
      <c r="F128" t="s">
        <v>83</v>
      </c>
      <c r="G128" s="1" t="s">
        <v>84</v>
      </c>
      <c r="I128" s="1" t="s">
        <v>85</v>
      </c>
      <c r="J128" s="1" t="s">
        <v>96</v>
      </c>
      <c r="K128" s="1" t="s">
        <v>87</v>
      </c>
      <c r="L128">
        <v>8708999709</v>
      </c>
      <c r="M128" s="2" t="s">
        <v>88</v>
      </c>
      <c r="N128" s="3" t="s">
        <v>89</v>
      </c>
      <c r="O128" s="1">
        <v>1</v>
      </c>
      <c r="P128" s="4">
        <v>831.11</v>
      </c>
      <c r="Q128" s="4">
        <v>66.62</v>
      </c>
      <c r="R128" s="4">
        <v>1.92</v>
      </c>
      <c r="S128" s="4">
        <v>899.65</v>
      </c>
      <c r="T128" s="5">
        <v>7.824</v>
      </c>
      <c r="U128" s="5">
        <v>7.824</v>
      </c>
      <c r="V128" s="5">
        <v>11.27</v>
      </c>
      <c r="W128" s="5">
        <v>11.27</v>
      </c>
      <c r="X128" s="4">
        <v>899.65</v>
      </c>
    </row>
    <row r="129" ht="14.5" customHeight="1" spans="2:24">
      <c r="B129" s="6" t="str">
        <f t="shared" si="1"/>
        <v>43115-DT1EJ20250101-A-JIEU8015558-PARTS</v>
      </c>
      <c r="C129" t="s">
        <v>80</v>
      </c>
      <c r="D129" t="s">
        <v>81</v>
      </c>
      <c r="E129" t="s">
        <v>82</v>
      </c>
      <c r="F129" t="s">
        <v>83</v>
      </c>
      <c r="G129" s="1" t="s">
        <v>84</v>
      </c>
      <c r="I129" s="1" t="s">
        <v>85</v>
      </c>
      <c r="J129" s="1" t="s">
        <v>96</v>
      </c>
      <c r="K129" s="1" t="s">
        <v>90</v>
      </c>
      <c r="L129">
        <v>8708299009</v>
      </c>
      <c r="M129" s="2" t="s">
        <v>91</v>
      </c>
      <c r="N129" s="3" t="s">
        <v>92</v>
      </c>
      <c r="O129" s="1">
        <v>1</v>
      </c>
      <c r="P129" s="4">
        <v>20</v>
      </c>
      <c r="Q129" s="4">
        <v>1.6</v>
      </c>
      <c r="R129" s="4">
        <v>0.05</v>
      </c>
      <c r="S129" s="4">
        <v>21.65</v>
      </c>
      <c r="T129" s="5">
        <v>0.633</v>
      </c>
      <c r="U129" s="5">
        <v>0.633</v>
      </c>
      <c r="V129" s="5">
        <v>0.91</v>
      </c>
      <c r="W129" s="5">
        <v>0.91</v>
      </c>
      <c r="X129" s="4">
        <v>21.65</v>
      </c>
    </row>
    <row r="130" ht="14.5" customHeight="1" spans="2:24">
      <c r="B130" s="6" t="str">
        <f t="shared" ref="B130:B193" si="2">CONCATENATE(C130,"-",E130,"-",G130)</f>
        <v>43115-DT1EJ20250101-A-JIEU8015558-PARTS</v>
      </c>
      <c r="C130" t="s">
        <v>80</v>
      </c>
      <c r="D130" t="s">
        <v>81</v>
      </c>
      <c r="E130" t="s">
        <v>82</v>
      </c>
      <c r="F130" t="s">
        <v>83</v>
      </c>
      <c r="G130" s="1" t="s">
        <v>84</v>
      </c>
      <c r="I130" s="1" t="s">
        <v>85</v>
      </c>
      <c r="J130" s="1" t="s">
        <v>96</v>
      </c>
      <c r="K130" s="1" t="s">
        <v>93</v>
      </c>
      <c r="L130">
        <v>8708299009</v>
      </c>
      <c r="M130" s="2" t="s">
        <v>94</v>
      </c>
      <c r="N130" s="3" t="s">
        <v>95</v>
      </c>
      <c r="O130" s="1">
        <v>1</v>
      </c>
      <c r="P130" s="4">
        <v>19.64</v>
      </c>
      <c r="Q130" s="4">
        <v>1.57</v>
      </c>
      <c r="R130" s="4">
        <v>0.05</v>
      </c>
      <c r="S130" s="4">
        <v>21.26</v>
      </c>
      <c r="T130" s="5">
        <v>0.622</v>
      </c>
      <c r="U130" s="5">
        <v>0.622</v>
      </c>
      <c r="V130" s="5">
        <v>0.9</v>
      </c>
      <c r="W130" s="5">
        <v>0.9</v>
      </c>
      <c r="X130" s="4">
        <v>21.26</v>
      </c>
    </row>
    <row r="131" ht="14.5" customHeight="1" spans="2:24">
      <c r="B131" s="6" t="str">
        <f t="shared" si="2"/>
        <v>43115-DT1EJ20250101-A-JIEU8015558-PARTS</v>
      </c>
      <c r="C131" t="s">
        <v>80</v>
      </c>
      <c r="D131" t="s">
        <v>81</v>
      </c>
      <c r="E131" t="s">
        <v>82</v>
      </c>
      <c r="F131" t="s">
        <v>83</v>
      </c>
      <c r="G131" s="1" t="s">
        <v>84</v>
      </c>
      <c r="I131" s="1" t="s">
        <v>85</v>
      </c>
      <c r="J131" s="1" t="s">
        <v>96</v>
      </c>
      <c r="K131" s="1" t="s">
        <v>87</v>
      </c>
      <c r="L131">
        <v>8708999709</v>
      </c>
      <c r="M131" s="2" t="s">
        <v>88</v>
      </c>
      <c r="N131" s="3" t="s">
        <v>89</v>
      </c>
      <c r="O131" s="1">
        <v>1</v>
      </c>
      <c r="P131" s="4">
        <v>831.11</v>
      </c>
      <c r="Q131" s="4">
        <v>66.62</v>
      </c>
      <c r="R131" s="4">
        <v>1.92</v>
      </c>
      <c r="S131" s="4">
        <v>899.65</v>
      </c>
      <c r="T131" s="5">
        <v>7.824</v>
      </c>
      <c r="U131" s="5">
        <v>7.824</v>
      </c>
      <c r="V131" s="5">
        <v>11.27</v>
      </c>
      <c r="W131" s="5">
        <v>11.27</v>
      </c>
      <c r="X131" s="4">
        <v>899.65</v>
      </c>
    </row>
    <row r="132" ht="14.5" customHeight="1" spans="2:24">
      <c r="B132" s="6" t="str">
        <f t="shared" si="2"/>
        <v>43115-DT1EJ20250101-A-JIEU8015558-PARTS</v>
      </c>
      <c r="C132" t="s">
        <v>80</v>
      </c>
      <c r="D132" t="s">
        <v>81</v>
      </c>
      <c r="E132" t="s">
        <v>82</v>
      </c>
      <c r="F132" t="s">
        <v>83</v>
      </c>
      <c r="G132" s="1" t="s">
        <v>84</v>
      </c>
      <c r="I132" s="1" t="s">
        <v>85</v>
      </c>
      <c r="J132" s="1" t="s">
        <v>96</v>
      </c>
      <c r="K132" s="1" t="s">
        <v>90</v>
      </c>
      <c r="L132">
        <v>8708299009</v>
      </c>
      <c r="M132" s="2" t="s">
        <v>91</v>
      </c>
      <c r="N132" s="3" t="s">
        <v>92</v>
      </c>
      <c r="O132" s="1">
        <v>1</v>
      </c>
      <c r="P132" s="4">
        <v>20</v>
      </c>
      <c r="Q132" s="4">
        <v>1.6</v>
      </c>
      <c r="R132" s="4">
        <v>0.05</v>
      </c>
      <c r="S132" s="4">
        <v>21.65</v>
      </c>
      <c r="T132" s="5">
        <v>0.633</v>
      </c>
      <c r="U132" s="5">
        <v>0.633</v>
      </c>
      <c r="V132" s="5">
        <v>0.91</v>
      </c>
      <c r="W132" s="5">
        <v>0.91</v>
      </c>
      <c r="X132" s="4">
        <v>21.65</v>
      </c>
    </row>
    <row r="133" ht="14.5" customHeight="1" spans="2:24">
      <c r="B133" s="6" t="str">
        <f t="shared" si="2"/>
        <v>43115-DT1EJ20250101-A-JIEU8015558-PARTS</v>
      </c>
      <c r="C133" t="s">
        <v>80</v>
      </c>
      <c r="D133" t="s">
        <v>81</v>
      </c>
      <c r="E133" t="s">
        <v>82</v>
      </c>
      <c r="F133" t="s">
        <v>83</v>
      </c>
      <c r="G133" s="1" t="s">
        <v>84</v>
      </c>
      <c r="I133" s="1" t="s">
        <v>85</v>
      </c>
      <c r="J133" s="1" t="s">
        <v>96</v>
      </c>
      <c r="K133" s="1" t="s">
        <v>93</v>
      </c>
      <c r="L133">
        <v>8708299009</v>
      </c>
      <c r="M133" s="2" t="s">
        <v>94</v>
      </c>
      <c r="N133" s="3" t="s">
        <v>95</v>
      </c>
      <c r="O133" s="1">
        <v>1</v>
      </c>
      <c r="P133" s="4">
        <v>19.64</v>
      </c>
      <c r="Q133" s="4">
        <v>1.57</v>
      </c>
      <c r="R133" s="4">
        <v>0.05</v>
      </c>
      <c r="S133" s="4">
        <v>21.26</v>
      </c>
      <c r="T133" s="5">
        <v>0.622</v>
      </c>
      <c r="U133" s="5">
        <v>0.622</v>
      </c>
      <c r="V133" s="5">
        <v>0.9</v>
      </c>
      <c r="W133" s="5">
        <v>0.9</v>
      </c>
      <c r="X133" s="4">
        <v>21.26</v>
      </c>
    </row>
    <row r="134" ht="14.5" customHeight="1" spans="2:24">
      <c r="B134" s="6" t="str">
        <f t="shared" si="2"/>
        <v>43115-DT1EJ20250101-A-JIEU8015558-PARTS</v>
      </c>
      <c r="C134" t="s">
        <v>80</v>
      </c>
      <c r="D134" t="s">
        <v>81</v>
      </c>
      <c r="E134" t="s">
        <v>82</v>
      </c>
      <c r="F134" t="s">
        <v>83</v>
      </c>
      <c r="G134" s="1" t="s">
        <v>84</v>
      </c>
      <c r="I134" s="1" t="s">
        <v>85</v>
      </c>
      <c r="J134" s="1" t="s">
        <v>96</v>
      </c>
      <c r="K134" s="1" t="s">
        <v>87</v>
      </c>
      <c r="L134">
        <v>8708999709</v>
      </c>
      <c r="M134" s="2" t="s">
        <v>88</v>
      </c>
      <c r="N134" s="3" t="s">
        <v>89</v>
      </c>
      <c r="O134" s="1">
        <v>1</v>
      </c>
      <c r="P134" s="4">
        <v>831.11</v>
      </c>
      <c r="Q134" s="4">
        <v>66.62</v>
      </c>
      <c r="R134" s="4">
        <v>1.92</v>
      </c>
      <c r="S134" s="4">
        <v>899.65</v>
      </c>
      <c r="T134" s="5">
        <v>7.824</v>
      </c>
      <c r="U134" s="5">
        <v>7.824</v>
      </c>
      <c r="V134" s="5">
        <v>11.27</v>
      </c>
      <c r="W134" s="5">
        <v>11.27</v>
      </c>
      <c r="X134" s="4">
        <v>899.65</v>
      </c>
    </row>
    <row r="135" ht="14.5" customHeight="1" spans="2:24">
      <c r="B135" s="6" t="str">
        <f t="shared" si="2"/>
        <v>43115-DT1EJ20250101-A-JIEU8015558-PARTS</v>
      </c>
      <c r="C135" t="s">
        <v>80</v>
      </c>
      <c r="D135" t="s">
        <v>81</v>
      </c>
      <c r="E135" t="s">
        <v>82</v>
      </c>
      <c r="F135" t="s">
        <v>83</v>
      </c>
      <c r="G135" s="1" t="s">
        <v>84</v>
      </c>
      <c r="I135" s="1" t="s">
        <v>85</v>
      </c>
      <c r="J135" s="1" t="s">
        <v>96</v>
      </c>
      <c r="K135" s="1" t="s">
        <v>90</v>
      </c>
      <c r="L135">
        <v>8708299009</v>
      </c>
      <c r="M135" s="2" t="s">
        <v>91</v>
      </c>
      <c r="N135" s="3" t="s">
        <v>92</v>
      </c>
      <c r="O135" s="1">
        <v>1</v>
      </c>
      <c r="P135" s="4">
        <v>20</v>
      </c>
      <c r="Q135" s="4">
        <v>1.6</v>
      </c>
      <c r="R135" s="4">
        <v>0.05</v>
      </c>
      <c r="S135" s="4">
        <v>21.65</v>
      </c>
      <c r="T135" s="5">
        <v>0.633</v>
      </c>
      <c r="U135" s="5">
        <v>0.633</v>
      </c>
      <c r="V135" s="5">
        <v>0.91</v>
      </c>
      <c r="W135" s="5">
        <v>0.91</v>
      </c>
      <c r="X135" s="4">
        <v>21.65</v>
      </c>
    </row>
    <row r="136" ht="14.5" customHeight="1" spans="2:24">
      <c r="B136" s="6" t="str">
        <f t="shared" si="2"/>
        <v>43115-DT1EJ20250101-A-JIEU8015558-PARTS</v>
      </c>
      <c r="C136" t="s">
        <v>80</v>
      </c>
      <c r="D136" t="s">
        <v>81</v>
      </c>
      <c r="E136" t="s">
        <v>82</v>
      </c>
      <c r="F136" t="s">
        <v>83</v>
      </c>
      <c r="G136" s="1" t="s">
        <v>84</v>
      </c>
      <c r="I136" s="1" t="s">
        <v>85</v>
      </c>
      <c r="J136" s="1" t="s">
        <v>96</v>
      </c>
      <c r="K136" s="1" t="s">
        <v>93</v>
      </c>
      <c r="L136">
        <v>8708299009</v>
      </c>
      <c r="M136" s="2" t="s">
        <v>94</v>
      </c>
      <c r="N136" s="3" t="s">
        <v>95</v>
      </c>
      <c r="O136" s="1">
        <v>1</v>
      </c>
      <c r="P136" s="4">
        <v>19.64</v>
      </c>
      <c r="Q136" s="4">
        <v>1.57</v>
      </c>
      <c r="R136" s="4">
        <v>0.05</v>
      </c>
      <c r="S136" s="4">
        <v>21.26</v>
      </c>
      <c r="T136" s="5">
        <v>0.622</v>
      </c>
      <c r="U136" s="5">
        <v>0.622</v>
      </c>
      <c r="V136" s="5">
        <v>0.9</v>
      </c>
      <c r="W136" s="5">
        <v>0.9</v>
      </c>
      <c r="X136" s="4">
        <v>21.26</v>
      </c>
    </row>
    <row r="137" ht="14.5" customHeight="1" spans="2:24">
      <c r="B137" s="6" t="str">
        <f t="shared" si="2"/>
        <v>43115-DT1EJ20250101-A-JIEU8015558-PARTS</v>
      </c>
      <c r="C137" t="s">
        <v>80</v>
      </c>
      <c r="D137" t="s">
        <v>81</v>
      </c>
      <c r="E137" t="s">
        <v>82</v>
      </c>
      <c r="F137" t="s">
        <v>83</v>
      </c>
      <c r="G137" s="1" t="s">
        <v>84</v>
      </c>
      <c r="I137" s="1" t="s">
        <v>85</v>
      </c>
      <c r="J137" s="1" t="s">
        <v>96</v>
      </c>
      <c r="K137" s="1" t="s">
        <v>87</v>
      </c>
      <c r="L137">
        <v>8708999709</v>
      </c>
      <c r="M137" s="2" t="s">
        <v>88</v>
      </c>
      <c r="N137" s="3" t="s">
        <v>89</v>
      </c>
      <c r="O137" s="1">
        <v>1</v>
      </c>
      <c r="P137" s="4">
        <v>831.11</v>
      </c>
      <c r="Q137" s="4">
        <v>66.62</v>
      </c>
      <c r="R137" s="4">
        <v>1.92</v>
      </c>
      <c r="S137" s="4">
        <v>899.65</v>
      </c>
      <c r="T137" s="5">
        <v>7.824</v>
      </c>
      <c r="U137" s="5">
        <v>7.824</v>
      </c>
      <c r="V137" s="5">
        <v>11.27</v>
      </c>
      <c r="W137" s="5">
        <v>11.27</v>
      </c>
      <c r="X137" s="4">
        <v>899.65</v>
      </c>
    </row>
    <row r="138" ht="14.5" customHeight="1" spans="2:24">
      <c r="B138" s="6" t="str">
        <f t="shared" si="2"/>
        <v>43115-DT1EJ20250101-A-JIEU8015558-PARTS</v>
      </c>
      <c r="C138" t="s">
        <v>80</v>
      </c>
      <c r="D138" t="s">
        <v>81</v>
      </c>
      <c r="E138" t="s">
        <v>82</v>
      </c>
      <c r="F138" t="s">
        <v>83</v>
      </c>
      <c r="G138" s="1" t="s">
        <v>84</v>
      </c>
      <c r="I138" s="1" t="s">
        <v>85</v>
      </c>
      <c r="J138" s="1" t="s">
        <v>96</v>
      </c>
      <c r="K138" s="1" t="s">
        <v>90</v>
      </c>
      <c r="L138">
        <v>8708299009</v>
      </c>
      <c r="M138" s="2" t="s">
        <v>91</v>
      </c>
      <c r="N138" s="3" t="s">
        <v>92</v>
      </c>
      <c r="O138" s="1">
        <v>1</v>
      </c>
      <c r="P138" s="4">
        <v>20</v>
      </c>
      <c r="Q138" s="4">
        <v>1.6</v>
      </c>
      <c r="R138" s="4">
        <v>0.05</v>
      </c>
      <c r="S138" s="4">
        <v>21.65</v>
      </c>
      <c r="T138" s="5">
        <v>0.633</v>
      </c>
      <c r="U138" s="5">
        <v>0.633</v>
      </c>
      <c r="V138" s="5">
        <v>0.91</v>
      </c>
      <c r="W138" s="5">
        <v>0.91</v>
      </c>
      <c r="X138" s="4">
        <v>21.65</v>
      </c>
    </row>
    <row r="139" ht="14.5" customHeight="1" spans="2:24">
      <c r="B139" s="6" t="str">
        <f t="shared" si="2"/>
        <v>43115-DT1EJ20250101-A-JIEU8015558-PARTS</v>
      </c>
      <c r="C139" t="s">
        <v>80</v>
      </c>
      <c r="D139" t="s">
        <v>81</v>
      </c>
      <c r="E139" t="s">
        <v>82</v>
      </c>
      <c r="F139" t="s">
        <v>83</v>
      </c>
      <c r="G139" s="1" t="s">
        <v>84</v>
      </c>
      <c r="I139" s="1" t="s">
        <v>85</v>
      </c>
      <c r="J139" s="1" t="s">
        <v>96</v>
      </c>
      <c r="K139" s="1" t="s">
        <v>93</v>
      </c>
      <c r="L139">
        <v>8708299009</v>
      </c>
      <c r="M139" s="2" t="s">
        <v>94</v>
      </c>
      <c r="N139" s="3" t="s">
        <v>95</v>
      </c>
      <c r="O139" s="1">
        <v>1</v>
      </c>
      <c r="P139" s="4">
        <v>19.64</v>
      </c>
      <c r="Q139" s="4">
        <v>1.57</v>
      </c>
      <c r="R139" s="4">
        <v>0.05</v>
      </c>
      <c r="S139" s="4">
        <v>21.26</v>
      </c>
      <c r="T139" s="5">
        <v>0.622</v>
      </c>
      <c r="U139" s="5">
        <v>0.622</v>
      </c>
      <c r="V139" s="5">
        <v>0.9</v>
      </c>
      <c r="W139" s="5">
        <v>0.9</v>
      </c>
      <c r="X139" s="4">
        <v>21.26</v>
      </c>
    </row>
    <row r="140" ht="14.5" customHeight="1" spans="2:24">
      <c r="B140" s="6" t="str">
        <f t="shared" si="2"/>
        <v>43115-DT1EJ20250101-A-JIEU8015558-PARTS</v>
      </c>
      <c r="C140" t="s">
        <v>80</v>
      </c>
      <c r="D140" t="s">
        <v>81</v>
      </c>
      <c r="E140" t="s">
        <v>82</v>
      </c>
      <c r="F140" t="s">
        <v>83</v>
      </c>
      <c r="G140" s="1" t="s">
        <v>84</v>
      </c>
      <c r="I140" s="1" t="s">
        <v>85</v>
      </c>
      <c r="J140" s="1" t="s">
        <v>96</v>
      </c>
      <c r="K140" s="1" t="s">
        <v>87</v>
      </c>
      <c r="L140">
        <v>8708999709</v>
      </c>
      <c r="M140" s="2" t="s">
        <v>88</v>
      </c>
      <c r="N140" s="3" t="s">
        <v>89</v>
      </c>
      <c r="O140" s="1">
        <v>1</v>
      </c>
      <c r="P140" s="4">
        <v>831.11</v>
      </c>
      <c r="Q140" s="4">
        <v>66.62</v>
      </c>
      <c r="R140" s="4">
        <v>1.92</v>
      </c>
      <c r="S140" s="4">
        <v>899.65</v>
      </c>
      <c r="T140" s="5">
        <v>7.824</v>
      </c>
      <c r="U140" s="5">
        <v>7.824</v>
      </c>
      <c r="V140" s="5">
        <v>11.27</v>
      </c>
      <c r="W140" s="5">
        <v>11.27</v>
      </c>
      <c r="X140" s="4">
        <v>899.65</v>
      </c>
    </row>
    <row r="141" ht="14.5" customHeight="1" spans="2:24">
      <c r="B141" s="6" t="str">
        <f t="shared" si="2"/>
        <v>43115-DT1EJ20250101-A-JIEU8015558-PARTS</v>
      </c>
      <c r="C141" t="s">
        <v>80</v>
      </c>
      <c r="D141" t="s">
        <v>81</v>
      </c>
      <c r="E141" t="s">
        <v>82</v>
      </c>
      <c r="F141" t="s">
        <v>83</v>
      </c>
      <c r="G141" s="1" t="s">
        <v>84</v>
      </c>
      <c r="I141" s="1" t="s">
        <v>85</v>
      </c>
      <c r="J141" s="1" t="s">
        <v>96</v>
      </c>
      <c r="K141" s="1" t="s">
        <v>90</v>
      </c>
      <c r="L141">
        <v>8708299009</v>
      </c>
      <c r="M141" s="2" t="s">
        <v>91</v>
      </c>
      <c r="N141" s="3" t="s">
        <v>92</v>
      </c>
      <c r="O141" s="1">
        <v>1</v>
      </c>
      <c r="P141" s="4">
        <v>20</v>
      </c>
      <c r="Q141" s="4">
        <v>1.6</v>
      </c>
      <c r="R141" s="4">
        <v>0.05</v>
      </c>
      <c r="S141" s="4">
        <v>21.65</v>
      </c>
      <c r="T141" s="5">
        <v>0.633</v>
      </c>
      <c r="U141" s="5">
        <v>0.633</v>
      </c>
      <c r="V141" s="5">
        <v>0.91</v>
      </c>
      <c r="W141" s="5">
        <v>0.91</v>
      </c>
      <c r="X141" s="4">
        <v>21.65</v>
      </c>
    </row>
    <row r="142" ht="14.5" customHeight="1" spans="2:24">
      <c r="B142" s="6" t="str">
        <f t="shared" si="2"/>
        <v>43115-DT1EJ20250101-A-JIEU8015558-PARTS</v>
      </c>
      <c r="C142" t="s">
        <v>80</v>
      </c>
      <c r="D142" t="s">
        <v>81</v>
      </c>
      <c r="E142" t="s">
        <v>82</v>
      </c>
      <c r="F142" t="s">
        <v>83</v>
      </c>
      <c r="G142" s="1" t="s">
        <v>84</v>
      </c>
      <c r="I142" s="1" t="s">
        <v>85</v>
      </c>
      <c r="J142" s="1" t="s">
        <v>96</v>
      </c>
      <c r="K142" s="1" t="s">
        <v>93</v>
      </c>
      <c r="L142">
        <v>8708299009</v>
      </c>
      <c r="M142" s="2" t="s">
        <v>94</v>
      </c>
      <c r="N142" s="3" t="s">
        <v>95</v>
      </c>
      <c r="O142" s="1">
        <v>1</v>
      </c>
      <c r="P142" s="4">
        <v>19.64</v>
      </c>
      <c r="Q142" s="4">
        <v>1.57</v>
      </c>
      <c r="R142" s="4">
        <v>0.05</v>
      </c>
      <c r="S142" s="4">
        <v>21.26</v>
      </c>
      <c r="T142" s="5">
        <v>0.622</v>
      </c>
      <c r="U142" s="5">
        <v>0.622</v>
      </c>
      <c r="V142" s="5">
        <v>0.9</v>
      </c>
      <c r="W142" s="5">
        <v>0.9</v>
      </c>
      <c r="X142" s="4">
        <v>21.26</v>
      </c>
    </row>
    <row r="143" ht="14.5" customHeight="1" spans="2:24">
      <c r="B143" s="6" t="str">
        <f t="shared" si="2"/>
        <v>43115-DT1EJ20250101-A-JIEU8015558-PARTS</v>
      </c>
      <c r="C143" t="s">
        <v>80</v>
      </c>
      <c r="D143" t="s">
        <v>81</v>
      </c>
      <c r="E143" t="s">
        <v>82</v>
      </c>
      <c r="F143" t="s">
        <v>83</v>
      </c>
      <c r="G143" s="1" t="s">
        <v>84</v>
      </c>
      <c r="I143" s="1" t="s">
        <v>85</v>
      </c>
      <c r="J143" s="1" t="s">
        <v>96</v>
      </c>
      <c r="K143" s="1" t="s">
        <v>87</v>
      </c>
      <c r="L143">
        <v>8708999709</v>
      </c>
      <c r="M143" s="2" t="s">
        <v>88</v>
      </c>
      <c r="N143" s="3" t="s">
        <v>89</v>
      </c>
      <c r="O143" s="1">
        <v>1</v>
      </c>
      <c r="P143" s="4">
        <v>831.11</v>
      </c>
      <c r="Q143" s="4">
        <v>66.62</v>
      </c>
      <c r="R143" s="4">
        <v>1.92</v>
      </c>
      <c r="S143" s="4">
        <v>899.65</v>
      </c>
      <c r="T143" s="5">
        <v>7.824</v>
      </c>
      <c r="U143" s="5">
        <v>7.824</v>
      </c>
      <c r="V143" s="5">
        <v>11.27</v>
      </c>
      <c r="W143" s="5">
        <v>11.27</v>
      </c>
      <c r="X143" s="4">
        <v>899.65</v>
      </c>
    </row>
    <row r="144" ht="14.5" customHeight="1" spans="2:24">
      <c r="B144" s="6" t="str">
        <f t="shared" si="2"/>
        <v>43115-DT1EJ20250101-A-JIEU8015558-PARTS</v>
      </c>
      <c r="C144" t="s">
        <v>80</v>
      </c>
      <c r="D144" t="s">
        <v>81</v>
      </c>
      <c r="E144" t="s">
        <v>82</v>
      </c>
      <c r="F144" t="s">
        <v>83</v>
      </c>
      <c r="G144" s="1" t="s">
        <v>84</v>
      </c>
      <c r="I144" s="1" t="s">
        <v>85</v>
      </c>
      <c r="J144" s="1" t="s">
        <v>96</v>
      </c>
      <c r="K144" s="1" t="s">
        <v>90</v>
      </c>
      <c r="L144">
        <v>8708299009</v>
      </c>
      <c r="M144" s="2" t="s">
        <v>91</v>
      </c>
      <c r="N144" s="3" t="s">
        <v>92</v>
      </c>
      <c r="O144" s="1">
        <v>1</v>
      </c>
      <c r="P144" s="4">
        <v>20</v>
      </c>
      <c r="Q144" s="4">
        <v>1.6</v>
      </c>
      <c r="R144" s="4">
        <v>0.05</v>
      </c>
      <c r="S144" s="4">
        <v>21.65</v>
      </c>
      <c r="T144" s="5">
        <v>0.633</v>
      </c>
      <c r="U144" s="5">
        <v>0.633</v>
      </c>
      <c r="V144" s="5">
        <v>0.91</v>
      </c>
      <c r="W144" s="5">
        <v>0.91</v>
      </c>
      <c r="X144" s="4">
        <v>21.65</v>
      </c>
    </row>
    <row r="145" ht="14.5" customHeight="1" spans="2:28">
      <c r="B145" s="6" t="str">
        <f t="shared" si="2"/>
        <v>43115-DT1EJ20250101-A-JIEU8015558-PARTS</v>
      </c>
      <c r="C145" t="s">
        <v>80</v>
      </c>
      <c r="D145" t="s">
        <v>81</v>
      </c>
      <c r="E145" t="s">
        <v>82</v>
      </c>
      <c r="F145" t="s">
        <v>83</v>
      </c>
      <c r="G145" s="1" t="s">
        <v>84</v>
      </c>
      <c r="I145" s="1" t="s">
        <v>85</v>
      </c>
      <c r="J145" s="1" t="s">
        <v>96</v>
      </c>
      <c r="K145" s="1" t="s">
        <v>93</v>
      </c>
      <c r="L145">
        <v>8708299009</v>
      </c>
      <c r="M145" s="2" t="s">
        <v>94</v>
      </c>
      <c r="N145" s="3" t="s">
        <v>95</v>
      </c>
      <c r="O145" s="1">
        <v>1</v>
      </c>
      <c r="P145" s="4">
        <v>19.64</v>
      </c>
      <c r="Q145" s="4">
        <v>1.57</v>
      </c>
      <c r="R145" s="4">
        <v>0.05</v>
      </c>
      <c r="S145" s="4">
        <v>21.26</v>
      </c>
      <c r="T145" s="5">
        <v>0.622</v>
      </c>
      <c r="U145" s="5">
        <v>0.622</v>
      </c>
      <c r="V145" s="5">
        <v>0.9</v>
      </c>
      <c r="W145" s="5">
        <v>0.9</v>
      </c>
      <c r="X145" s="4">
        <v>21.26</v>
      </c>
    </row>
    <row r="146" ht="14.5" customHeight="1" spans="2:28">
      <c r="B146" s="6" t="str">
        <f t="shared" si="2"/>
        <v>43115-DT1EJ20250101-A-JIEU8015558-PARTS</v>
      </c>
      <c r="C146" t="s">
        <v>80</v>
      </c>
      <c r="D146" t="s">
        <v>81</v>
      </c>
      <c r="E146" t="s">
        <v>82</v>
      </c>
      <c r="F146" t="s">
        <v>83</v>
      </c>
      <c r="G146" s="1" t="s">
        <v>84</v>
      </c>
      <c r="I146" s="1" t="s">
        <v>85</v>
      </c>
      <c r="J146" s="1" t="s">
        <v>97</v>
      </c>
      <c r="K146" s="1" t="s">
        <v>98</v>
      </c>
      <c r="L146">
        <v>8421320000</v>
      </c>
      <c r="M146" s="2" t="s">
        <v>99</v>
      </c>
      <c r="N146" s="3" t="s">
        <v>100</v>
      </c>
      <c r="O146" s="1">
        <v>2</v>
      </c>
      <c r="P146" s="4">
        <v>355.21</v>
      </c>
      <c r="Q146" s="4">
        <v>56.94</v>
      </c>
      <c r="R146" s="4">
        <v>1.64</v>
      </c>
      <c r="S146" s="4">
        <v>384.5</v>
      </c>
      <c r="T146" s="5">
        <v>4.833</v>
      </c>
      <c r="U146" s="5">
        <v>9.666</v>
      </c>
      <c r="V146" s="5">
        <v>5.95</v>
      </c>
      <c r="W146" s="5">
        <v>11.9</v>
      </c>
      <c r="X146" s="4">
        <v>769</v>
      </c>
      <c r="Y146">
        <v>2280</v>
      </c>
      <c r="Z146">
        <v>1180</v>
      </c>
      <c r="AA146">
        <v>850</v>
      </c>
      <c r="AB146" s="1">
        <v>2.29</v>
      </c>
    </row>
    <row r="147" ht="14.5" customHeight="1" spans="2:28">
      <c r="B147" s="6" t="str">
        <f t="shared" si="2"/>
        <v>43115-DT1EJ20250101-A-JIEU8015558-PARTS</v>
      </c>
      <c r="C147" t="s">
        <v>80</v>
      </c>
      <c r="D147" t="s">
        <v>81</v>
      </c>
      <c r="E147" t="s">
        <v>82</v>
      </c>
      <c r="F147" t="s">
        <v>83</v>
      </c>
      <c r="G147" s="1" t="s">
        <v>84</v>
      </c>
      <c r="I147" s="1" t="s">
        <v>85</v>
      </c>
      <c r="J147" s="1" t="s">
        <v>97</v>
      </c>
      <c r="K147" s="1" t="s">
        <v>98</v>
      </c>
      <c r="L147">
        <v>8421320000</v>
      </c>
      <c r="M147" s="2" t="s">
        <v>99</v>
      </c>
      <c r="N147" s="3" t="s">
        <v>100</v>
      </c>
      <c r="O147" s="1">
        <v>2</v>
      </c>
      <c r="P147" s="4">
        <v>355.21</v>
      </c>
      <c r="Q147" s="4">
        <v>56.94</v>
      </c>
      <c r="R147" s="4">
        <v>1.64</v>
      </c>
      <c r="S147" s="4">
        <v>384.5</v>
      </c>
      <c r="T147" s="5">
        <v>4.833</v>
      </c>
      <c r="U147" s="5">
        <v>9.666</v>
      </c>
      <c r="V147" s="5">
        <v>5.95</v>
      </c>
      <c r="W147" s="5">
        <v>11.9</v>
      </c>
      <c r="X147" s="4">
        <v>769</v>
      </c>
    </row>
    <row r="148" ht="14.5" customHeight="1" spans="2:28">
      <c r="B148" s="6" t="str">
        <f t="shared" si="2"/>
        <v>43115-DT1EJ20250101-A-JIEU8015558-PARTS</v>
      </c>
      <c r="C148" t="s">
        <v>80</v>
      </c>
      <c r="D148" t="s">
        <v>81</v>
      </c>
      <c r="E148" t="s">
        <v>82</v>
      </c>
      <c r="F148" t="s">
        <v>83</v>
      </c>
      <c r="G148" s="1" t="s">
        <v>84</v>
      </c>
      <c r="I148" s="1" t="s">
        <v>85</v>
      </c>
      <c r="J148" s="1" t="s">
        <v>97</v>
      </c>
      <c r="K148" s="1" t="s">
        <v>98</v>
      </c>
      <c r="L148">
        <v>8421320000</v>
      </c>
      <c r="M148" s="2" t="s">
        <v>99</v>
      </c>
      <c r="N148" s="3" t="s">
        <v>100</v>
      </c>
      <c r="O148" s="1">
        <v>2</v>
      </c>
      <c r="P148" s="4">
        <v>355.21</v>
      </c>
      <c r="Q148" s="4">
        <v>56.94</v>
      </c>
      <c r="R148" s="4">
        <v>1.64</v>
      </c>
      <c r="S148" s="4">
        <v>384.5</v>
      </c>
      <c r="T148" s="5">
        <v>4.833</v>
      </c>
      <c r="U148" s="5">
        <v>9.666</v>
      </c>
      <c r="V148" s="5">
        <v>5.95</v>
      </c>
      <c r="W148" s="5">
        <v>11.9</v>
      </c>
      <c r="X148" s="4">
        <v>769</v>
      </c>
    </row>
    <row r="149" ht="14.5" customHeight="1" spans="2:28">
      <c r="B149" s="6" t="str">
        <f t="shared" si="2"/>
        <v>43115-DT1EJ20250101-A-JIEU8015558-PARTS</v>
      </c>
      <c r="C149" t="s">
        <v>80</v>
      </c>
      <c r="D149" t="s">
        <v>81</v>
      </c>
      <c r="E149" t="s">
        <v>82</v>
      </c>
      <c r="F149" t="s">
        <v>83</v>
      </c>
      <c r="G149" s="1" t="s">
        <v>84</v>
      </c>
      <c r="I149" s="1" t="s">
        <v>85</v>
      </c>
      <c r="J149" s="1" t="s">
        <v>97</v>
      </c>
      <c r="K149" s="1" t="s">
        <v>98</v>
      </c>
      <c r="L149">
        <v>8421320000</v>
      </c>
      <c r="M149" s="2" t="s">
        <v>99</v>
      </c>
      <c r="N149" s="3" t="s">
        <v>100</v>
      </c>
      <c r="O149" s="1">
        <v>2</v>
      </c>
      <c r="P149" s="4">
        <v>355.21</v>
      </c>
      <c r="Q149" s="4">
        <v>56.94</v>
      </c>
      <c r="R149" s="4">
        <v>1.64</v>
      </c>
      <c r="S149" s="4">
        <v>384.5</v>
      </c>
      <c r="T149" s="5">
        <v>4.833</v>
      </c>
      <c r="U149" s="5">
        <v>9.666</v>
      </c>
      <c r="V149" s="5">
        <v>5.95</v>
      </c>
      <c r="W149" s="5">
        <v>11.9</v>
      </c>
      <c r="X149" s="4">
        <v>769</v>
      </c>
    </row>
    <row r="150" ht="14.5" customHeight="1" spans="2:28">
      <c r="B150" s="6" t="str">
        <f t="shared" si="2"/>
        <v>43115-DT1EJ20250101-A-JIEU8015558-PARTS</v>
      </c>
      <c r="C150" t="s">
        <v>80</v>
      </c>
      <c r="D150" t="s">
        <v>81</v>
      </c>
      <c r="E150" t="s">
        <v>82</v>
      </c>
      <c r="F150" t="s">
        <v>83</v>
      </c>
      <c r="G150" s="1" t="s">
        <v>84</v>
      </c>
      <c r="I150" s="1" t="s">
        <v>85</v>
      </c>
      <c r="J150" s="1" t="s">
        <v>97</v>
      </c>
      <c r="K150" s="1" t="s">
        <v>98</v>
      </c>
      <c r="L150">
        <v>8421320000</v>
      </c>
      <c r="M150" s="2" t="s">
        <v>99</v>
      </c>
      <c r="N150" s="3" t="s">
        <v>100</v>
      </c>
      <c r="O150" s="1">
        <v>2</v>
      </c>
      <c r="P150" s="4">
        <v>355.21</v>
      </c>
      <c r="Q150" s="4">
        <v>56.94</v>
      </c>
      <c r="R150" s="4">
        <v>1.64</v>
      </c>
      <c r="S150" s="4">
        <v>384.5</v>
      </c>
      <c r="T150" s="5">
        <v>4.833</v>
      </c>
      <c r="U150" s="5">
        <v>9.666</v>
      </c>
      <c r="V150" s="5">
        <v>5.95</v>
      </c>
      <c r="W150" s="5">
        <v>11.9</v>
      </c>
      <c r="X150" s="4">
        <v>769</v>
      </c>
    </row>
    <row r="151" ht="14.5" customHeight="1" spans="2:28">
      <c r="B151" s="6" t="str">
        <f t="shared" si="2"/>
        <v>43115-DT1EJ20250101-A-JIEU8015558-PARTS</v>
      </c>
      <c r="C151" t="s">
        <v>80</v>
      </c>
      <c r="D151" t="s">
        <v>81</v>
      </c>
      <c r="E151" t="s">
        <v>82</v>
      </c>
      <c r="F151" t="s">
        <v>83</v>
      </c>
      <c r="G151" s="1" t="s">
        <v>84</v>
      </c>
      <c r="I151" s="1" t="s">
        <v>85</v>
      </c>
      <c r="J151" s="1" t="s">
        <v>97</v>
      </c>
      <c r="K151" s="1" t="s">
        <v>98</v>
      </c>
      <c r="L151">
        <v>8421320000</v>
      </c>
      <c r="M151" s="2" t="s">
        <v>99</v>
      </c>
      <c r="N151" s="3" t="s">
        <v>100</v>
      </c>
      <c r="O151" s="1">
        <v>2</v>
      </c>
      <c r="P151" s="4">
        <v>355.21</v>
      </c>
      <c r="Q151" s="4">
        <v>56.94</v>
      </c>
      <c r="R151" s="4">
        <v>1.64</v>
      </c>
      <c r="S151" s="4">
        <v>384.5</v>
      </c>
      <c r="T151" s="5">
        <v>4.833</v>
      </c>
      <c r="U151" s="5">
        <v>9.666</v>
      </c>
      <c r="V151" s="5">
        <v>5.95</v>
      </c>
      <c r="W151" s="5">
        <v>11.9</v>
      </c>
      <c r="X151" s="4">
        <v>769</v>
      </c>
    </row>
    <row r="152" ht="14.5" customHeight="1" spans="2:28">
      <c r="B152" s="6" t="str">
        <f t="shared" si="2"/>
        <v>43115-DT1EJ20250101-A-JIEU8015558-PARTS</v>
      </c>
      <c r="C152" t="s">
        <v>80</v>
      </c>
      <c r="D152" t="s">
        <v>81</v>
      </c>
      <c r="E152" t="s">
        <v>82</v>
      </c>
      <c r="F152" t="s">
        <v>83</v>
      </c>
      <c r="G152" s="1" t="s">
        <v>84</v>
      </c>
      <c r="I152" s="1" t="s">
        <v>85</v>
      </c>
      <c r="J152" s="1" t="s">
        <v>97</v>
      </c>
      <c r="K152" s="1" t="s">
        <v>98</v>
      </c>
      <c r="L152">
        <v>8421320000</v>
      </c>
      <c r="M152" s="2" t="s">
        <v>99</v>
      </c>
      <c r="N152" s="3" t="s">
        <v>100</v>
      </c>
      <c r="O152" s="1">
        <v>2</v>
      </c>
      <c r="P152" s="4">
        <v>355.21</v>
      </c>
      <c r="Q152" s="4">
        <v>56.94</v>
      </c>
      <c r="R152" s="4">
        <v>1.64</v>
      </c>
      <c r="S152" s="4">
        <v>384.5</v>
      </c>
      <c r="T152" s="5">
        <v>4.833</v>
      </c>
      <c r="U152" s="5">
        <v>9.666</v>
      </c>
      <c r="V152" s="5">
        <v>5.95</v>
      </c>
      <c r="W152" s="5">
        <v>11.9</v>
      </c>
      <c r="X152" s="4">
        <v>769</v>
      </c>
    </row>
    <row r="153" ht="14.5" customHeight="1" spans="2:28">
      <c r="B153" s="6" t="str">
        <f t="shared" si="2"/>
        <v>43115-DT1EJ20250101-A-JIEU8015558-PARTS</v>
      </c>
      <c r="C153" t="s">
        <v>80</v>
      </c>
      <c r="D153" t="s">
        <v>81</v>
      </c>
      <c r="E153" t="s">
        <v>82</v>
      </c>
      <c r="F153" t="s">
        <v>83</v>
      </c>
      <c r="G153" s="1" t="s">
        <v>84</v>
      </c>
      <c r="I153" s="1" t="s">
        <v>85</v>
      </c>
      <c r="J153" s="1" t="s">
        <v>97</v>
      </c>
      <c r="K153" s="1" t="s">
        <v>98</v>
      </c>
      <c r="L153">
        <v>8421320000</v>
      </c>
      <c r="M153" s="2" t="s">
        <v>99</v>
      </c>
      <c r="N153" s="3" t="s">
        <v>100</v>
      </c>
      <c r="O153" s="1">
        <v>2</v>
      </c>
      <c r="P153" s="4">
        <v>355.21</v>
      </c>
      <c r="Q153" s="4">
        <v>56.94</v>
      </c>
      <c r="R153" s="4">
        <v>1.64</v>
      </c>
      <c r="S153" s="4">
        <v>384.5</v>
      </c>
      <c r="T153" s="5">
        <v>4.833</v>
      </c>
      <c r="U153" s="5">
        <v>9.666</v>
      </c>
      <c r="V153" s="5">
        <v>5.95</v>
      </c>
      <c r="W153" s="5">
        <v>11.9</v>
      </c>
      <c r="X153" s="4">
        <v>769</v>
      </c>
    </row>
    <row r="154" ht="14.5" customHeight="1" spans="2:28">
      <c r="B154" s="6" t="str">
        <f t="shared" si="2"/>
        <v>43115-DT1EJ20250101-A-JIEU8015558-PARTS</v>
      </c>
      <c r="C154" t="s">
        <v>80</v>
      </c>
      <c r="D154" t="s">
        <v>81</v>
      </c>
      <c r="E154" t="s">
        <v>82</v>
      </c>
      <c r="F154" t="s">
        <v>83</v>
      </c>
      <c r="G154" s="1" t="s">
        <v>84</v>
      </c>
      <c r="I154" s="1" t="s">
        <v>85</v>
      </c>
      <c r="J154" s="1" t="s">
        <v>97</v>
      </c>
      <c r="K154" s="1" t="s">
        <v>98</v>
      </c>
      <c r="L154">
        <v>8421320000</v>
      </c>
      <c r="M154" s="2" t="s">
        <v>99</v>
      </c>
      <c r="N154" s="3" t="s">
        <v>100</v>
      </c>
      <c r="O154" s="1">
        <v>2</v>
      </c>
      <c r="P154" s="4">
        <v>355.21</v>
      </c>
      <c r="Q154" s="4">
        <v>56.94</v>
      </c>
      <c r="R154" s="4">
        <v>1.64</v>
      </c>
      <c r="S154" s="4">
        <v>384.5</v>
      </c>
      <c r="T154" s="5">
        <v>4.833</v>
      </c>
      <c r="U154" s="5">
        <v>9.666</v>
      </c>
      <c r="V154" s="5">
        <v>5.95</v>
      </c>
      <c r="W154" s="5">
        <v>11.9</v>
      </c>
      <c r="X154" s="4">
        <v>769</v>
      </c>
    </row>
    <row r="155" ht="14.5" customHeight="1" spans="2:28">
      <c r="B155" s="6" t="str">
        <f t="shared" si="2"/>
        <v>43115-DT1EJ20250101-A-JIEU8015558-PARTS</v>
      </c>
      <c r="C155" t="s">
        <v>80</v>
      </c>
      <c r="D155" t="s">
        <v>81</v>
      </c>
      <c r="E155" t="s">
        <v>82</v>
      </c>
      <c r="F155" t="s">
        <v>83</v>
      </c>
      <c r="G155" s="1" t="s">
        <v>84</v>
      </c>
      <c r="I155" s="1" t="s">
        <v>85</v>
      </c>
      <c r="J155" s="1" t="s">
        <v>97</v>
      </c>
      <c r="K155" s="1" t="s">
        <v>98</v>
      </c>
      <c r="L155">
        <v>8421320000</v>
      </c>
      <c r="M155" s="2" t="s">
        <v>99</v>
      </c>
      <c r="N155" s="3" t="s">
        <v>100</v>
      </c>
      <c r="O155" s="1">
        <v>2</v>
      </c>
      <c r="P155" s="4">
        <v>355.21</v>
      </c>
      <c r="Q155" s="4">
        <v>56.94</v>
      </c>
      <c r="R155" s="4">
        <v>1.64</v>
      </c>
      <c r="S155" s="4">
        <v>384.5</v>
      </c>
      <c r="T155" s="5">
        <v>4.833</v>
      </c>
      <c r="U155" s="5">
        <v>9.666</v>
      </c>
      <c r="V155" s="5">
        <v>5.95</v>
      </c>
      <c r="W155" s="5">
        <v>11.9</v>
      </c>
      <c r="X155" s="4">
        <v>769</v>
      </c>
    </row>
    <row r="156" ht="14.5" customHeight="1" spans="2:28">
      <c r="B156" s="6" t="str">
        <f t="shared" si="2"/>
        <v>43115-DT1EJ20250101-A-JIEU8015558-PARTS</v>
      </c>
      <c r="C156" t="s">
        <v>80</v>
      </c>
      <c r="D156" t="s">
        <v>81</v>
      </c>
      <c r="E156" t="s">
        <v>82</v>
      </c>
      <c r="F156" t="s">
        <v>83</v>
      </c>
      <c r="G156" s="1" t="s">
        <v>84</v>
      </c>
      <c r="I156" s="1" t="s">
        <v>85</v>
      </c>
      <c r="J156" s="1" t="s">
        <v>97</v>
      </c>
      <c r="K156" s="1" t="s">
        <v>98</v>
      </c>
      <c r="L156">
        <v>8421320000</v>
      </c>
      <c r="M156" s="2" t="s">
        <v>99</v>
      </c>
      <c r="N156" s="3" t="s">
        <v>100</v>
      </c>
      <c r="O156" s="1">
        <v>2</v>
      </c>
      <c r="P156" s="4">
        <v>355.21</v>
      </c>
      <c r="Q156" s="4">
        <v>56.94</v>
      </c>
      <c r="R156" s="4">
        <v>1.64</v>
      </c>
      <c r="S156" s="4">
        <v>384.5</v>
      </c>
      <c r="T156" s="5">
        <v>4.833</v>
      </c>
      <c r="U156" s="5">
        <v>9.666</v>
      </c>
      <c r="V156" s="5">
        <v>5.95</v>
      </c>
      <c r="W156" s="5">
        <v>11.9</v>
      </c>
      <c r="X156" s="4">
        <v>769</v>
      </c>
    </row>
    <row r="157" ht="14.5" customHeight="1" spans="2:28">
      <c r="B157" s="6" t="str">
        <f t="shared" si="2"/>
        <v>43115-DT1EJ20250101-A-JIEU8015558-PARTS</v>
      </c>
      <c r="C157" t="s">
        <v>80</v>
      </c>
      <c r="D157" t="s">
        <v>81</v>
      </c>
      <c r="E157" t="s">
        <v>82</v>
      </c>
      <c r="F157" t="s">
        <v>83</v>
      </c>
      <c r="G157" s="1" t="s">
        <v>84</v>
      </c>
      <c r="I157" s="1" t="s">
        <v>85</v>
      </c>
      <c r="J157" s="1" t="s">
        <v>97</v>
      </c>
      <c r="K157" s="1" t="s">
        <v>98</v>
      </c>
      <c r="L157">
        <v>8421320000</v>
      </c>
      <c r="M157" s="2" t="s">
        <v>99</v>
      </c>
      <c r="N157" s="3" t="s">
        <v>100</v>
      </c>
      <c r="O157" s="1">
        <v>2</v>
      </c>
      <c r="P157" s="4">
        <v>355.21</v>
      </c>
      <c r="Q157" s="4">
        <v>56.94</v>
      </c>
      <c r="R157" s="4">
        <v>1.64</v>
      </c>
      <c r="S157" s="4">
        <v>384.5</v>
      </c>
      <c r="T157" s="5">
        <v>4.833</v>
      </c>
      <c r="U157" s="5">
        <v>9.666</v>
      </c>
      <c r="V157" s="5">
        <v>5.95</v>
      </c>
      <c r="W157" s="5">
        <v>11.9</v>
      </c>
      <c r="X157" s="4">
        <v>769</v>
      </c>
    </row>
    <row r="158" ht="14.5" customHeight="1" spans="2:28">
      <c r="B158" s="6" t="str">
        <f t="shared" si="2"/>
        <v>43115-DT1EJ20250101-A-JIEU8015558-PARTS</v>
      </c>
      <c r="C158" t="s">
        <v>80</v>
      </c>
      <c r="D158" t="s">
        <v>81</v>
      </c>
      <c r="E158" t="s">
        <v>82</v>
      </c>
      <c r="F158" t="s">
        <v>83</v>
      </c>
      <c r="G158" s="1" t="s">
        <v>84</v>
      </c>
      <c r="I158" s="1" t="s">
        <v>85</v>
      </c>
      <c r="J158" s="1" t="s">
        <v>97</v>
      </c>
      <c r="K158" s="1" t="s">
        <v>98</v>
      </c>
      <c r="L158">
        <v>8421320000</v>
      </c>
      <c r="M158" s="2" t="s">
        <v>99</v>
      </c>
      <c r="N158" s="3" t="s">
        <v>100</v>
      </c>
      <c r="O158" s="1">
        <v>2</v>
      </c>
      <c r="P158" s="4">
        <v>355.21</v>
      </c>
      <c r="Q158" s="4">
        <v>56.94</v>
      </c>
      <c r="R158" s="4">
        <v>1.64</v>
      </c>
      <c r="S158" s="4">
        <v>384.5</v>
      </c>
      <c r="T158" s="5">
        <v>4.833</v>
      </c>
      <c r="U158" s="5">
        <v>9.666</v>
      </c>
      <c r="V158" s="5">
        <v>5.95</v>
      </c>
      <c r="W158" s="5">
        <v>11.9</v>
      </c>
      <c r="X158" s="4">
        <v>769</v>
      </c>
    </row>
    <row r="159" ht="14.5" customHeight="1" spans="2:28">
      <c r="B159" s="6" t="str">
        <f t="shared" si="2"/>
        <v>43115-DT1EJ20250101-A-JIEU8015558-PARTS</v>
      </c>
      <c r="C159" t="s">
        <v>80</v>
      </c>
      <c r="D159" t="s">
        <v>81</v>
      </c>
      <c r="E159" t="s">
        <v>82</v>
      </c>
      <c r="F159" t="s">
        <v>83</v>
      </c>
      <c r="G159" s="1" t="s">
        <v>84</v>
      </c>
      <c r="I159" s="1" t="s">
        <v>85</v>
      </c>
      <c r="J159" s="1" t="s">
        <v>97</v>
      </c>
      <c r="K159" s="1" t="s">
        <v>98</v>
      </c>
      <c r="L159">
        <v>8421320000</v>
      </c>
      <c r="M159" s="2" t="s">
        <v>99</v>
      </c>
      <c r="N159" s="3" t="s">
        <v>100</v>
      </c>
      <c r="O159" s="1">
        <v>2</v>
      </c>
      <c r="P159" s="4">
        <v>355.21</v>
      </c>
      <c r="Q159" s="4">
        <v>56.94</v>
      </c>
      <c r="R159" s="4">
        <v>1.64</v>
      </c>
      <c r="S159" s="4">
        <v>384.5</v>
      </c>
      <c r="T159" s="5">
        <v>4.833</v>
      </c>
      <c r="U159" s="5">
        <v>9.666</v>
      </c>
      <c r="V159" s="5">
        <v>5.95</v>
      </c>
      <c r="W159" s="5">
        <v>11.9</v>
      </c>
      <c r="X159" s="4">
        <v>769</v>
      </c>
    </row>
    <row r="160" ht="14.5" customHeight="1" spans="2:28">
      <c r="B160" s="6" t="str">
        <f t="shared" si="2"/>
        <v>43115-DT1EJ20250101-A-JIEU8015558-PARTS</v>
      </c>
      <c r="C160" t="s">
        <v>80</v>
      </c>
      <c r="D160" t="s">
        <v>81</v>
      </c>
      <c r="E160" t="s">
        <v>82</v>
      </c>
      <c r="F160" t="s">
        <v>83</v>
      </c>
      <c r="G160" s="1" t="s">
        <v>84</v>
      </c>
      <c r="I160" s="1" t="s">
        <v>85</v>
      </c>
      <c r="J160" s="1" t="s">
        <v>97</v>
      </c>
      <c r="K160" s="1" t="s">
        <v>98</v>
      </c>
      <c r="L160">
        <v>8421320000</v>
      </c>
      <c r="M160" s="2" t="s">
        <v>99</v>
      </c>
      <c r="N160" s="3" t="s">
        <v>100</v>
      </c>
      <c r="O160" s="1">
        <v>2</v>
      </c>
      <c r="P160" s="4">
        <v>355.21</v>
      </c>
      <c r="Q160" s="4">
        <v>56.94</v>
      </c>
      <c r="R160" s="4">
        <v>1.64</v>
      </c>
      <c r="S160" s="4">
        <v>384.5</v>
      </c>
      <c r="T160" s="5">
        <v>4.833</v>
      </c>
      <c r="U160" s="5">
        <v>9.666</v>
      </c>
      <c r="V160" s="5">
        <v>5.95</v>
      </c>
      <c r="W160" s="5">
        <v>11.9</v>
      </c>
      <c r="X160" s="4">
        <v>769</v>
      </c>
    </row>
    <row r="161" ht="14.5" customHeight="1" spans="2:28">
      <c r="B161" s="6" t="str">
        <f t="shared" si="2"/>
        <v>43115-DT1EJ20250101-A-JIEU8015558-PARTS</v>
      </c>
      <c r="C161" t="s">
        <v>80</v>
      </c>
      <c r="D161" t="s">
        <v>81</v>
      </c>
      <c r="E161" t="s">
        <v>82</v>
      </c>
      <c r="F161" t="s">
        <v>83</v>
      </c>
      <c r="G161" s="1" t="s">
        <v>84</v>
      </c>
      <c r="I161" s="1" t="s">
        <v>85</v>
      </c>
      <c r="J161" s="1" t="s">
        <v>97</v>
      </c>
      <c r="K161" s="1" t="s">
        <v>98</v>
      </c>
      <c r="L161">
        <v>8421320000</v>
      </c>
      <c r="M161" s="2" t="s">
        <v>99</v>
      </c>
      <c r="N161" s="3" t="s">
        <v>100</v>
      </c>
      <c r="O161" s="1">
        <v>2</v>
      </c>
      <c r="P161" s="4">
        <v>355.21</v>
      </c>
      <c r="Q161" s="4">
        <v>56.94</v>
      </c>
      <c r="R161" s="4">
        <v>1.64</v>
      </c>
      <c r="S161" s="4">
        <v>384.5</v>
      </c>
      <c r="T161" s="5">
        <v>4.833</v>
      </c>
      <c r="U161" s="5">
        <v>9.666</v>
      </c>
      <c r="V161" s="5">
        <v>5.95</v>
      </c>
      <c r="W161" s="5">
        <v>11.9</v>
      </c>
      <c r="X161" s="4">
        <v>769</v>
      </c>
    </row>
    <row r="162" ht="14.5" customHeight="1" spans="2:28">
      <c r="B162" s="6" t="str">
        <f t="shared" si="2"/>
        <v>43115-DT1EJ20250101-A-JIEU8015558-PARTS</v>
      </c>
      <c r="C162" t="s">
        <v>80</v>
      </c>
      <c r="D162" t="s">
        <v>81</v>
      </c>
      <c r="E162" t="s">
        <v>82</v>
      </c>
      <c r="F162" t="s">
        <v>83</v>
      </c>
      <c r="G162" s="1" t="s">
        <v>84</v>
      </c>
      <c r="I162" s="1" t="s">
        <v>85</v>
      </c>
      <c r="J162" s="1" t="s">
        <v>97</v>
      </c>
      <c r="K162" s="1" t="s">
        <v>98</v>
      </c>
      <c r="L162">
        <v>8421320000</v>
      </c>
      <c r="M162" s="2" t="s">
        <v>99</v>
      </c>
      <c r="N162" s="3" t="s">
        <v>100</v>
      </c>
      <c r="O162" s="1">
        <v>2</v>
      </c>
      <c r="P162" s="4">
        <v>355.21</v>
      </c>
      <c r="Q162" s="4">
        <v>56.94</v>
      </c>
      <c r="R162" s="4">
        <v>1.64</v>
      </c>
      <c r="S162" s="4">
        <v>384.5</v>
      </c>
      <c r="T162" s="5">
        <v>4.833</v>
      </c>
      <c r="U162" s="5">
        <v>9.666</v>
      </c>
      <c r="V162" s="5">
        <v>5.95</v>
      </c>
      <c r="W162" s="5">
        <v>11.9</v>
      </c>
      <c r="X162" s="4">
        <v>769</v>
      </c>
    </row>
    <row r="163" ht="14.5" customHeight="1" spans="2:28">
      <c r="B163" s="6" t="str">
        <f t="shared" si="2"/>
        <v>43115-DT1EJ20250101-A-JIEU8015558-PARTS</v>
      </c>
      <c r="C163" t="s">
        <v>80</v>
      </c>
      <c r="D163" t="s">
        <v>81</v>
      </c>
      <c r="E163" t="s">
        <v>82</v>
      </c>
      <c r="F163" t="s">
        <v>83</v>
      </c>
      <c r="G163" s="1" t="s">
        <v>84</v>
      </c>
      <c r="I163" s="1" t="s">
        <v>85</v>
      </c>
      <c r="J163" s="1" t="s">
        <v>97</v>
      </c>
      <c r="K163" s="1" t="s">
        <v>98</v>
      </c>
      <c r="L163">
        <v>8421320000</v>
      </c>
      <c r="M163" s="2" t="s">
        <v>99</v>
      </c>
      <c r="N163" s="3" t="s">
        <v>100</v>
      </c>
      <c r="O163" s="1">
        <v>2</v>
      </c>
      <c r="P163" s="4">
        <v>355.21</v>
      </c>
      <c r="Q163" s="4">
        <v>56.94</v>
      </c>
      <c r="R163" s="4">
        <v>1.64</v>
      </c>
      <c r="S163" s="4">
        <v>384.5</v>
      </c>
      <c r="T163" s="5">
        <v>4.833</v>
      </c>
      <c r="U163" s="5">
        <v>9.666</v>
      </c>
      <c r="V163" s="5">
        <v>5.95</v>
      </c>
      <c r="W163" s="5">
        <v>11.9</v>
      </c>
      <c r="X163" s="4">
        <v>769</v>
      </c>
    </row>
    <row r="164" ht="14.5" customHeight="1" spans="2:28">
      <c r="B164" s="6" t="str">
        <f t="shared" si="2"/>
        <v>43115-DT1EJ20250101-A-JIEU8015558-PARTS</v>
      </c>
      <c r="C164" t="s">
        <v>80</v>
      </c>
      <c r="D164" t="s">
        <v>81</v>
      </c>
      <c r="E164" t="s">
        <v>82</v>
      </c>
      <c r="F164" t="s">
        <v>83</v>
      </c>
      <c r="G164" s="1" t="s">
        <v>84</v>
      </c>
      <c r="I164" s="1" t="s">
        <v>85</v>
      </c>
      <c r="J164" s="1" t="s">
        <v>97</v>
      </c>
      <c r="K164" s="1" t="s">
        <v>98</v>
      </c>
      <c r="L164">
        <v>8421320000</v>
      </c>
      <c r="M164" s="2" t="s">
        <v>99</v>
      </c>
      <c r="N164" s="3" t="s">
        <v>100</v>
      </c>
      <c r="O164" s="1">
        <v>2</v>
      </c>
      <c r="P164" s="4">
        <v>355.21</v>
      </c>
      <c r="Q164" s="4">
        <v>56.94</v>
      </c>
      <c r="R164" s="4">
        <v>1.64</v>
      </c>
      <c r="S164" s="4">
        <v>384.5</v>
      </c>
      <c r="T164" s="5">
        <v>4.833</v>
      </c>
      <c r="U164" s="5">
        <v>9.666</v>
      </c>
      <c r="V164" s="5">
        <v>5.95</v>
      </c>
      <c r="W164" s="5">
        <v>11.9</v>
      </c>
      <c r="X164" s="4">
        <v>769</v>
      </c>
    </row>
    <row r="165" ht="14.5" customHeight="1" spans="2:28">
      <c r="B165" s="6" t="str">
        <f t="shared" si="2"/>
        <v>43115-DT1EJ20250101-A-JIEU8015558-PARTS</v>
      </c>
      <c r="C165" t="s">
        <v>80</v>
      </c>
      <c r="D165" t="s">
        <v>81</v>
      </c>
      <c r="E165" t="s">
        <v>82</v>
      </c>
      <c r="F165" t="s">
        <v>83</v>
      </c>
      <c r="G165" s="1" t="s">
        <v>84</v>
      </c>
      <c r="I165" s="1" t="s">
        <v>85</v>
      </c>
      <c r="J165" s="1" t="s">
        <v>97</v>
      </c>
      <c r="K165" s="1" t="s">
        <v>98</v>
      </c>
      <c r="L165">
        <v>8421320000</v>
      </c>
      <c r="M165" s="2" t="s">
        <v>99</v>
      </c>
      <c r="N165" s="3" t="s">
        <v>100</v>
      </c>
      <c r="O165" s="1">
        <v>2</v>
      </c>
      <c r="P165" s="4">
        <v>355.21</v>
      </c>
      <c r="Q165" s="4">
        <v>56.94</v>
      </c>
      <c r="R165" s="4">
        <v>1.64</v>
      </c>
      <c r="S165" s="4">
        <v>384.5</v>
      </c>
      <c r="T165" s="5">
        <v>4.833</v>
      </c>
      <c r="U165" s="5">
        <v>9.666</v>
      </c>
      <c r="V165" s="5">
        <v>5.95</v>
      </c>
      <c r="W165" s="5">
        <v>11.9</v>
      </c>
      <c r="X165" s="4">
        <v>769</v>
      </c>
    </row>
    <row r="166" ht="14.5" customHeight="1" spans="2:28">
      <c r="B166" s="6" t="str">
        <f t="shared" si="2"/>
        <v>43115-DT1EJ20250101-A-JIEU8015558-PARTS</v>
      </c>
      <c r="C166" t="s">
        <v>80</v>
      </c>
      <c r="D166" t="s">
        <v>81</v>
      </c>
      <c r="E166" t="s">
        <v>82</v>
      </c>
      <c r="F166" t="s">
        <v>83</v>
      </c>
      <c r="G166" s="1" t="s">
        <v>84</v>
      </c>
      <c r="I166" s="1" t="s">
        <v>85</v>
      </c>
      <c r="J166" s="1" t="s">
        <v>97</v>
      </c>
      <c r="K166" s="1" t="s">
        <v>98</v>
      </c>
      <c r="L166">
        <v>8421320000</v>
      </c>
      <c r="M166" s="2" t="s">
        <v>99</v>
      </c>
      <c r="N166" s="3" t="s">
        <v>100</v>
      </c>
      <c r="O166" s="1">
        <v>2</v>
      </c>
      <c r="P166" s="4">
        <v>355.21</v>
      </c>
      <c r="Q166" s="4">
        <v>56.94</v>
      </c>
      <c r="R166" s="4">
        <v>1.64</v>
      </c>
      <c r="S166" s="4">
        <v>384.5</v>
      </c>
      <c r="T166" s="5">
        <v>4.833</v>
      </c>
      <c r="U166" s="5">
        <v>9.666</v>
      </c>
      <c r="V166" s="5">
        <v>5.95</v>
      </c>
      <c r="W166" s="5">
        <v>11.9</v>
      </c>
      <c r="X166" s="4">
        <v>769</v>
      </c>
    </row>
    <row r="167" ht="14.5" customHeight="1" spans="2:28">
      <c r="B167" s="6" t="str">
        <f t="shared" si="2"/>
        <v>43115-DT1EJ20250101-A-JIEU8015558-PARTS</v>
      </c>
      <c r="C167" t="s">
        <v>80</v>
      </c>
      <c r="D167" t="s">
        <v>81</v>
      </c>
      <c r="E167" t="s">
        <v>82</v>
      </c>
      <c r="F167" t="s">
        <v>83</v>
      </c>
      <c r="G167" s="1" t="s">
        <v>84</v>
      </c>
      <c r="I167" s="1" t="s">
        <v>85</v>
      </c>
      <c r="J167" s="1" t="s">
        <v>97</v>
      </c>
      <c r="K167" s="1" t="s">
        <v>98</v>
      </c>
      <c r="L167">
        <v>8421320000</v>
      </c>
      <c r="M167" s="2" t="s">
        <v>99</v>
      </c>
      <c r="N167" s="3" t="s">
        <v>100</v>
      </c>
      <c r="O167" s="1">
        <v>2</v>
      </c>
      <c r="P167" s="4">
        <v>355.21</v>
      </c>
      <c r="Q167" s="4">
        <v>56.94</v>
      </c>
      <c r="R167" s="4">
        <v>1.64</v>
      </c>
      <c r="S167" s="4">
        <v>384.5</v>
      </c>
      <c r="T167" s="5">
        <v>4.833</v>
      </c>
      <c r="U167" s="5">
        <v>9.666</v>
      </c>
      <c r="V167" s="5">
        <v>5.95</v>
      </c>
      <c r="W167" s="5">
        <v>11.9</v>
      </c>
      <c r="X167" s="4">
        <v>769</v>
      </c>
    </row>
    <row r="168" ht="14.5" customHeight="1" spans="2:28">
      <c r="B168" s="6" t="str">
        <f t="shared" si="2"/>
        <v>43115-DT1EJ20250101-A-JIEU8015558-PARTS</v>
      </c>
      <c r="C168" t="s">
        <v>80</v>
      </c>
      <c r="D168" t="s">
        <v>81</v>
      </c>
      <c r="E168" t="s">
        <v>82</v>
      </c>
      <c r="F168" t="s">
        <v>83</v>
      </c>
      <c r="G168" s="1" t="s">
        <v>84</v>
      </c>
      <c r="I168" s="1" t="s">
        <v>85</v>
      </c>
      <c r="J168" s="1" t="s">
        <v>97</v>
      </c>
      <c r="K168" s="1" t="s">
        <v>98</v>
      </c>
      <c r="L168">
        <v>8421320000</v>
      </c>
      <c r="M168" s="2" t="s">
        <v>99</v>
      </c>
      <c r="N168" s="3" t="s">
        <v>100</v>
      </c>
      <c r="O168" s="1">
        <v>2</v>
      </c>
      <c r="P168" s="4">
        <v>355.21</v>
      </c>
      <c r="Q168" s="4">
        <v>56.94</v>
      </c>
      <c r="R168" s="4">
        <v>1.64</v>
      </c>
      <c r="S168" s="4">
        <v>384.5</v>
      </c>
      <c r="T168" s="5">
        <v>4.833</v>
      </c>
      <c r="U168" s="5">
        <v>9.666</v>
      </c>
      <c r="V168" s="5">
        <v>5.95</v>
      </c>
      <c r="W168" s="5">
        <v>11.9</v>
      </c>
      <c r="X168" s="4">
        <v>769</v>
      </c>
    </row>
    <row r="169" ht="14.5" customHeight="1" spans="2:28">
      <c r="B169" s="6" t="str">
        <f t="shared" si="2"/>
        <v>43115-DT1EJ20250101-A-JIEU8015558-PARTS</v>
      </c>
      <c r="C169" t="s">
        <v>80</v>
      </c>
      <c r="D169" t="s">
        <v>81</v>
      </c>
      <c r="E169" t="s">
        <v>82</v>
      </c>
      <c r="F169" t="s">
        <v>83</v>
      </c>
      <c r="G169" s="1" t="s">
        <v>84</v>
      </c>
      <c r="I169" s="1" t="s">
        <v>85</v>
      </c>
      <c r="J169" s="1" t="s">
        <v>97</v>
      </c>
      <c r="K169" s="1" t="s">
        <v>98</v>
      </c>
      <c r="L169">
        <v>8421320000</v>
      </c>
      <c r="M169" s="2" t="s">
        <v>99</v>
      </c>
      <c r="N169" s="3" t="s">
        <v>100</v>
      </c>
      <c r="O169" s="1">
        <v>2</v>
      </c>
      <c r="P169" s="4">
        <v>355.21</v>
      </c>
      <c r="Q169" s="4">
        <v>56.94</v>
      </c>
      <c r="R169" s="4">
        <v>1.64</v>
      </c>
      <c r="S169" s="4">
        <v>384.5</v>
      </c>
      <c r="T169" s="5">
        <v>4.833</v>
      </c>
      <c r="U169" s="5">
        <v>9.666</v>
      </c>
      <c r="V169" s="5">
        <v>5.95</v>
      </c>
      <c r="W169" s="5">
        <v>11.9</v>
      </c>
      <c r="X169" s="4">
        <v>769</v>
      </c>
    </row>
    <row r="170" ht="14.5" customHeight="1" spans="2:28">
      <c r="B170" s="6" t="str">
        <f t="shared" si="2"/>
        <v>43115-DT1EJ20250101-A-JIEU8015558-PARTS</v>
      </c>
      <c r="C170" t="s">
        <v>80</v>
      </c>
      <c r="D170" t="s">
        <v>81</v>
      </c>
      <c r="E170" t="s">
        <v>82</v>
      </c>
      <c r="F170" t="s">
        <v>83</v>
      </c>
      <c r="G170" s="1" t="s">
        <v>84</v>
      </c>
      <c r="I170" s="1" t="s">
        <v>85</v>
      </c>
      <c r="J170" s="1" t="s">
        <v>97</v>
      </c>
      <c r="K170" s="1" t="s">
        <v>98</v>
      </c>
      <c r="L170">
        <v>8421320000</v>
      </c>
      <c r="M170" s="2" t="s">
        <v>99</v>
      </c>
      <c r="N170" s="3" t="s">
        <v>100</v>
      </c>
      <c r="O170" s="1">
        <v>2</v>
      </c>
      <c r="P170" s="4">
        <v>355.21</v>
      </c>
      <c r="Q170" s="4">
        <v>56.94</v>
      </c>
      <c r="R170" s="4">
        <v>1.64</v>
      </c>
      <c r="S170" s="4">
        <v>384.5</v>
      </c>
      <c r="T170" s="5">
        <v>4.833</v>
      </c>
      <c r="U170" s="5">
        <v>9.666</v>
      </c>
      <c r="V170" s="5">
        <v>5.95</v>
      </c>
      <c r="W170" s="5">
        <v>11.9</v>
      </c>
      <c r="X170" s="4">
        <v>769</v>
      </c>
    </row>
    <row r="171" ht="14.5" customHeight="1" spans="2:28">
      <c r="B171" s="6" t="str">
        <f t="shared" si="2"/>
        <v>43115-DT1EJ20250101-A-JIEU8015558-PARTS</v>
      </c>
      <c r="C171" t="s">
        <v>80</v>
      </c>
      <c r="D171" t="s">
        <v>81</v>
      </c>
      <c r="E171" t="s">
        <v>82</v>
      </c>
      <c r="F171" t="s">
        <v>83</v>
      </c>
      <c r="G171" s="1" t="s">
        <v>84</v>
      </c>
      <c r="I171" s="1" t="s">
        <v>85</v>
      </c>
      <c r="J171" s="1" t="s">
        <v>97</v>
      </c>
      <c r="K171" s="1" t="s">
        <v>98</v>
      </c>
      <c r="L171">
        <v>8421320000</v>
      </c>
      <c r="M171" s="2" t="s">
        <v>99</v>
      </c>
      <c r="N171" s="3" t="s">
        <v>100</v>
      </c>
      <c r="O171" s="1">
        <v>2</v>
      </c>
      <c r="P171" s="4">
        <v>355.21</v>
      </c>
      <c r="Q171" s="4">
        <v>56.94</v>
      </c>
      <c r="R171" s="4">
        <v>1.64</v>
      </c>
      <c r="S171" s="4">
        <v>384.5</v>
      </c>
      <c r="T171" s="5">
        <v>4.833</v>
      </c>
      <c r="U171" s="5">
        <v>9.666</v>
      </c>
      <c r="V171" s="5">
        <v>5.95</v>
      </c>
      <c r="W171" s="5">
        <v>11.9</v>
      </c>
      <c r="X171" s="4">
        <v>769</v>
      </c>
    </row>
    <row r="172" ht="14.5" customHeight="1" spans="2:28">
      <c r="B172" s="6" t="str">
        <f t="shared" si="2"/>
        <v>43115-DT1EJ20250101-A-JIEU8015558-PARTS</v>
      </c>
      <c r="C172" t="s">
        <v>80</v>
      </c>
      <c r="D172" t="s">
        <v>81</v>
      </c>
      <c r="E172" t="s">
        <v>82</v>
      </c>
      <c r="F172" t="s">
        <v>83</v>
      </c>
      <c r="G172" s="1" t="s">
        <v>84</v>
      </c>
      <c r="I172" s="1" t="s">
        <v>85</v>
      </c>
      <c r="J172" s="1" t="s">
        <v>97</v>
      </c>
      <c r="K172" s="1" t="s">
        <v>98</v>
      </c>
      <c r="L172">
        <v>8421320000</v>
      </c>
      <c r="M172" s="2" t="s">
        <v>99</v>
      </c>
      <c r="N172" s="3" t="s">
        <v>100</v>
      </c>
      <c r="O172" s="1">
        <v>2</v>
      </c>
      <c r="P172" s="4">
        <v>355.21</v>
      </c>
      <c r="Q172" s="4">
        <v>56.94</v>
      </c>
      <c r="R172" s="4">
        <v>1.64</v>
      </c>
      <c r="S172" s="4">
        <v>384.5</v>
      </c>
      <c r="T172" s="5">
        <v>4.833</v>
      </c>
      <c r="U172" s="5">
        <v>9.666</v>
      </c>
      <c r="V172" s="5">
        <v>5.95</v>
      </c>
      <c r="W172" s="5">
        <v>11.9</v>
      </c>
      <c r="X172" s="4">
        <v>769</v>
      </c>
    </row>
    <row r="173" ht="14.5" customHeight="1" spans="2:28">
      <c r="B173" s="6" t="str">
        <f t="shared" si="2"/>
        <v>43115-DT1EJ20250101-A-JIEU8015558-PARTS</v>
      </c>
      <c r="C173" t="s">
        <v>80</v>
      </c>
      <c r="D173" t="s">
        <v>81</v>
      </c>
      <c r="E173" t="s">
        <v>82</v>
      </c>
      <c r="F173" t="s">
        <v>83</v>
      </c>
      <c r="G173" s="1" t="s">
        <v>84</v>
      </c>
      <c r="I173" s="1" t="s">
        <v>85</v>
      </c>
      <c r="J173" s="1" t="s">
        <v>97</v>
      </c>
      <c r="K173" s="1" t="s">
        <v>98</v>
      </c>
      <c r="L173">
        <v>8421320000</v>
      </c>
      <c r="M173" s="2" t="s">
        <v>99</v>
      </c>
      <c r="N173" s="3" t="s">
        <v>100</v>
      </c>
      <c r="O173" s="1">
        <v>2</v>
      </c>
      <c r="P173" s="4">
        <v>355.21</v>
      </c>
      <c r="Q173" s="4">
        <v>56.94</v>
      </c>
      <c r="R173" s="4">
        <v>1.64</v>
      </c>
      <c r="S173" s="4">
        <v>384.5</v>
      </c>
      <c r="T173" s="5">
        <v>4.833</v>
      </c>
      <c r="U173" s="5">
        <v>9.666</v>
      </c>
      <c r="V173" s="5">
        <v>5.95</v>
      </c>
      <c r="W173" s="5">
        <v>11.9</v>
      </c>
      <c r="X173" s="4">
        <v>769</v>
      </c>
    </row>
    <row r="174" ht="14.5" customHeight="1" spans="2:28">
      <c r="B174" s="6" t="str">
        <f t="shared" si="2"/>
        <v>43115-DT1EJ20250101-A-JIEU8015558-PARTS</v>
      </c>
      <c r="C174" t="s">
        <v>80</v>
      </c>
      <c r="D174" t="s">
        <v>81</v>
      </c>
      <c r="E174" t="s">
        <v>82</v>
      </c>
      <c r="F174" t="s">
        <v>83</v>
      </c>
      <c r="G174" s="1" t="s">
        <v>84</v>
      </c>
      <c r="I174" s="1" t="s">
        <v>85</v>
      </c>
      <c r="J174" s="1" t="s">
        <v>97</v>
      </c>
      <c r="K174" s="1" t="s">
        <v>98</v>
      </c>
      <c r="L174">
        <v>8421320000</v>
      </c>
      <c r="M174" s="2" t="s">
        <v>99</v>
      </c>
      <c r="N174" s="3" t="s">
        <v>100</v>
      </c>
      <c r="O174" s="1">
        <v>2</v>
      </c>
      <c r="P174" s="4">
        <v>355.21</v>
      </c>
      <c r="Q174" s="4">
        <v>56.94</v>
      </c>
      <c r="R174" s="4">
        <v>1.64</v>
      </c>
      <c r="S174" s="4">
        <v>384.5</v>
      </c>
      <c r="T174" s="5">
        <v>4.833</v>
      </c>
      <c r="U174" s="5">
        <v>9.666</v>
      </c>
      <c r="V174" s="5">
        <v>5.95</v>
      </c>
      <c r="W174" s="5">
        <v>11.9</v>
      </c>
      <c r="X174" s="4">
        <v>769</v>
      </c>
    </row>
    <row r="175" ht="14.5" customHeight="1" spans="2:28">
      <c r="B175" s="6" t="str">
        <f t="shared" si="2"/>
        <v>43115-DT1EJ20250101-A-JIEU8015558-PARTS</v>
      </c>
      <c r="C175" t="s">
        <v>80</v>
      </c>
      <c r="D175" t="s">
        <v>81</v>
      </c>
      <c r="E175" t="s">
        <v>82</v>
      </c>
      <c r="F175" t="s">
        <v>83</v>
      </c>
      <c r="G175" s="1" t="s">
        <v>84</v>
      </c>
      <c r="I175" s="1" t="s">
        <v>85</v>
      </c>
      <c r="J175" s="1" t="s">
        <v>97</v>
      </c>
      <c r="K175" s="1" t="s">
        <v>98</v>
      </c>
      <c r="L175">
        <v>8421320000</v>
      </c>
      <c r="M175" s="2" t="s">
        <v>99</v>
      </c>
      <c r="N175" s="3" t="s">
        <v>100</v>
      </c>
      <c r="O175" s="1">
        <v>2</v>
      </c>
      <c r="P175" s="4">
        <v>355.21</v>
      </c>
      <c r="Q175" s="4">
        <v>56.94</v>
      </c>
      <c r="R175" s="4">
        <v>1.64</v>
      </c>
      <c r="S175" s="4">
        <v>384.5</v>
      </c>
      <c r="T175" s="5">
        <v>4.833</v>
      </c>
      <c r="U175" s="5">
        <v>9.666</v>
      </c>
      <c r="V175" s="5">
        <v>5.95</v>
      </c>
      <c r="W175" s="5">
        <v>11.9</v>
      </c>
      <c r="X175" s="4">
        <v>769</v>
      </c>
    </row>
    <row r="176" ht="14.5" customHeight="1" spans="2:28">
      <c r="B176" s="6" t="str">
        <f t="shared" si="2"/>
        <v>43115-DT1EJ20250101-A-JIEU8015558-PARTS</v>
      </c>
      <c r="C176" t="s">
        <v>80</v>
      </c>
      <c r="D176" t="s">
        <v>81</v>
      </c>
      <c r="E176" t="s">
        <v>82</v>
      </c>
      <c r="F176" t="s">
        <v>83</v>
      </c>
      <c r="G176" s="1" t="s">
        <v>84</v>
      </c>
      <c r="I176" s="1" t="s">
        <v>85</v>
      </c>
      <c r="J176" s="1" t="s">
        <v>101</v>
      </c>
      <c r="K176" s="1" t="s">
        <v>98</v>
      </c>
      <c r="L176">
        <v>8421320000</v>
      </c>
      <c r="M176" s="2" t="s">
        <v>99</v>
      </c>
      <c r="N176" s="3" t="s">
        <v>100</v>
      </c>
      <c r="O176" s="1">
        <v>2</v>
      </c>
      <c r="P176" s="4">
        <v>355.21</v>
      </c>
      <c r="Q176" s="4">
        <v>56.94</v>
      </c>
      <c r="R176" s="4">
        <v>1.64</v>
      </c>
      <c r="S176" s="4">
        <v>384.5</v>
      </c>
      <c r="T176" s="5">
        <v>4.833</v>
      </c>
      <c r="U176" s="5">
        <v>9.666</v>
      </c>
      <c r="V176" s="5">
        <v>5.95</v>
      </c>
      <c r="W176" s="5">
        <v>11.9</v>
      </c>
      <c r="X176" s="4">
        <v>769</v>
      </c>
      <c r="Y176">
        <v>2280</v>
      </c>
      <c r="Z176">
        <v>1180</v>
      </c>
      <c r="AA176">
        <v>850</v>
      </c>
      <c r="AB176" s="1">
        <v>2.29</v>
      </c>
    </row>
    <row r="177" ht="14.5" customHeight="1" spans="2:24">
      <c r="B177" s="6" t="str">
        <f t="shared" si="2"/>
        <v>43115-DT1EJ20250101-A-JIEU8015558-PARTS</v>
      </c>
      <c r="C177" t="s">
        <v>80</v>
      </c>
      <c r="D177" t="s">
        <v>81</v>
      </c>
      <c r="E177" t="s">
        <v>82</v>
      </c>
      <c r="F177" t="s">
        <v>83</v>
      </c>
      <c r="G177" s="1" t="s">
        <v>84</v>
      </c>
      <c r="I177" s="1" t="s">
        <v>85</v>
      </c>
      <c r="J177" s="1" t="s">
        <v>101</v>
      </c>
      <c r="K177" s="1" t="s">
        <v>98</v>
      </c>
      <c r="L177">
        <v>8421320000</v>
      </c>
      <c r="M177" s="2" t="s">
        <v>99</v>
      </c>
      <c r="N177" s="3" t="s">
        <v>100</v>
      </c>
      <c r="O177" s="1">
        <v>2</v>
      </c>
      <c r="P177" s="4">
        <v>355.21</v>
      </c>
      <c r="Q177" s="4">
        <v>56.94</v>
      </c>
      <c r="R177" s="4">
        <v>1.64</v>
      </c>
      <c r="S177" s="4">
        <v>384.5</v>
      </c>
      <c r="T177" s="5">
        <v>4.833</v>
      </c>
      <c r="U177" s="5">
        <v>9.666</v>
      </c>
      <c r="V177" s="5">
        <v>5.95</v>
      </c>
      <c r="W177" s="5">
        <v>11.9</v>
      </c>
      <c r="X177" s="4">
        <v>769</v>
      </c>
    </row>
    <row r="178" ht="14.5" customHeight="1" spans="2:24">
      <c r="B178" s="6" t="str">
        <f t="shared" si="2"/>
        <v>43115-DT1EJ20250101-A-JIEU8015558-PARTS</v>
      </c>
      <c r="C178" t="s">
        <v>80</v>
      </c>
      <c r="D178" t="s">
        <v>81</v>
      </c>
      <c r="E178" t="s">
        <v>82</v>
      </c>
      <c r="F178" t="s">
        <v>83</v>
      </c>
      <c r="G178" s="1" t="s">
        <v>84</v>
      </c>
      <c r="I178" s="1" t="s">
        <v>85</v>
      </c>
      <c r="J178" s="1" t="s">
        <v>101</v>
      </c>
      <c r="K178" s="1" t="s">
        <v>98</v>
      </c>
      <c r="L178">
        <v>8421320000</v>
      </c>
      <c r="M178" s="2" t="s">
        <v>99</v>
      </c>
      <c r="N178" s="3" t="s">
        <v>100</v>
      </c>
      <c r="O178" s="1">
        <v>2</v>
      </c>
      <c r="P178" s="4">
        <v>355.21</v>
      </c>
      <c r="Q178" s="4">
        <v>56.94</v>
      </c>
      <c r="R178" s="4">
        <v>1.64</v>
      </c>
      <c r="S178" s="4">
        <v>384.5</v>
      </c>
      <c r="T178" s="5">
        <v>4.833</v>
      </c>
      <c r="U178" s="5">
        <v>9.666</v>
      </c>
      <c r="V178" s="5">
        <v>5.95</v>
      </c>
      <c r="W178" s="5">
        <v>11.9</v>
      </c>
      <c r="X178" s="4">
        <v>769</v>
      </c>
    </row>
    <row r="179" ht="14.5" customHeight="1" spans="2:24">
      <c r="B179" s="6" t="str">
        <f t="shared" si="2"/>
        <v>43115-DT1EJ20250101-A-JIEU8015558-PARTS</v>
      </c>
      <c r="C179" t="s">
        <v>80</v>
      </c>
      <c r="D179" t="s">
        <v>81</v>
      </c>
      <c r="E179" t="s">
        <v>82</v>
      </c>
      <c r="F179" t="s">
        <v>83</v>
      </c>
      <c r="G179" s="1" t="s">
        <v>84</v>
      </c>
      <c r="I179" s="1" t="s">
        <v>85</v>
      </c>
      <c r="J179" s="1" t="s">
        <v>101</v>
      </c>
      <c r="K179" s="1" t="s">
        <v>98</v>
      </c>
      <c r="L179">
        <v>8421320000</v>
      </c>
      <c r="M179" s="2" t="s">
        <v>99</v>
      </c>
      <c r="N179" s="3" t="s">
        <v>100</v>
      </c>
      <c r="O179" s="1">
        <v>2</v>
      </c>
      <c r="P179" s="4">
        <v>355.21</v>
      </c>
      <c r="Q179" s="4">
        <v>56.94</v>
      </c>
      <c r="R179" s="4">
        <v>1.64</v>
      </c>
      <c r="S179" s="4">
        <v>384.5</v>
      </c>
      <c r="T179" s="5">
        <v>4.833</v>
      </c>
      <c r="U179" s="5">
        <v>9.666</v>
      </c>
      <c r="V179" s="5">
        <v>5.95</v>
      </c>
      <c r="W179" s="5">
        <v>11.9</v>
      </c>
      <c r="X179" s="4">
        <v>769</v>
      </c>
    </row>
    <row r="180" ht="14.5" customHeight="1" spans="2:24">
      <c r="B180" s="6" t="str">
        <f t="shared" si="2"/>
        <v>43115-DT1EJ20250101-A-JIEU8015558-PARTS</v>
      </c>
      <c r="C180" t="s">
        <v>80</v>
      </c>
      <c r="D180" t="s">
        <v>81</v>
      </c>
      <c r="E180" t="s">
        <v>82</v>
      </c>
      <c r="F180" t="s">
        <v>83</v>
      </c>
      <c r="G180" s="1" t="s">
        <v>84</v>
      </c>
      <c r="I180" s="1" t="s">
        <v>85</v>
      </c>
      <c r="J180" s="1" t="s">
        <v>101</v>
      </c>
      <c r="K180" s="1" t="s">
        <v>98</v>
      </c>
      <c r="L180">
        <v>8421320000</v>
      </c>
      <c r="M180" s="2" t="s">
        <v>99</v>
      </c>
      <c r="N180" s="3" t="s">
        <v>100</v>
      </c>
      <c r="O180" s="1">
        <v>2</v>
      </c>
      <c r="P180" s="4">
        <v>355.21</v>
      </c>
      <c r="Q180" s="4">
        <v>56.94</v>
      </c>
      <c r="R180" s="4">
        <v>1.64</v>
      </c>
      <c r="S180" s="4">
        <v>384.5</v>
      </c>
      <c r="T180" s="5">
        <v>4.833</v>
      </c>
      <c r="U180" s="5">
        <v>9.666</v>
      </c>
      <c r="V180" s="5">
        <v>5.95</v>
      </c>
      <c r="W180" s="5">
        <v>11.9</v>
      </c>
      <c r="X180" s="4">
        <v>769</v>
      </c>
    </row>
    <row r="181" ht="14.5" customHeight="1" spans="2:24">
      <c r="B181" s="6" t="str">
        <f t="shared" si="2"/>
        <v>43115-DT1EJ20250101-A-JIEU8015558-PARTS</v>
      </c>
      <c r="C181" t="s">
        <v>80</v>
      </c>
      <c r="D181" t="s">
        <v>81</v>
      </c>
      <c r="E181" t="s">
        <v>82</v>
      </c>
      <c r="F181" t="s">
        <v>83</v>
      </c>
      <c r="G181" s="1" t="s">
        <v>84</v>
      </c>
      <c r="I181" s="1" t="s">
        <v>85</v>
      </c>
      <c r="J181" s="1" t="s">
        <v>101</v>
      </c>
      <c r="K181" s="1" t="s">
        <v>98</v>
      </c>
      <c r="L181">
        <v>8421320000</v>
      </c>
      <c r="M181" s="2" t="s">
        <v>99</v>
      </c>
      <c r="N181" s="3" t="s">
        <v>100</v>
      </c>
      <c r="O181" s="1">
        <v>2</v>
      </c>
      <c r="P181" s="4">
        <v>355.21</v>
      </c>
      <c r="Q181" s="4">
        <v>56.94</v>
      </c>
      <c r="R181" s="4">
        <v>1.64</v>
      </c>
      <c r="S181" s="4">
        <v>384.5</v>
      </c>
      <c r="T181" s="5">
        <v>4.833</v>
      </c>
      <c r="U181" s="5">
        <v>9.666</v>
      </c>
      <c r="V181" s="5">
        <v>5.95</v>
      </c>
      <c r="W181" s="5">
        <v>11.9</v>
      </c>
      <c r="X181" s="4">
        <v>769</v>
      </c>
    </row>
    <row r="182" ht="14.5" customHeight="1" spans="2:24">
      <c r="B182" s="6" t="str">
        <f t="shared" si="2"/>
        <v>43115-DT1EJ20250101-A-JIEU8015558-PARTS</v>
      </c>
      <c r="C182" t="s">
        <v>80</v>
      </c>
      <c r="D182" t="s">
        <v>81</v>
      </c>
      <c r="E182" t="s">
        <v>82</v>
      </c>
      <c r="F182" t="s">
        <v>83</v>
      </c>
      <c r="G182" s="1" t="s">
        <v>84</v>
      </c>
      <c r="I182" s="1" t="s">
        <v>85</v>
      </c>
      <c r="J182" s="1" t="s">
        <v>101</v>
      </c>
      <c r="K182" s="1" t="s">
        <v>98</v>
      </c>
      <c r="L182">
        <v>8421320000</v>
      </c>
      <c r="M182" s="2" t="s">
        <v>99</v>
      </c>
      <c r="N182" s="3" t="s">
        <v>100</v>
      </c>
      <c r="O182" s="1">
        <v>2</v>
      </c>
      <c r="P182" s="4">
        <v>355.21</v>
      </c>
      <c r="Q182" s="4">
        <v>56.94</v>
      </c>
      <c r="R182" s="4">
        <v>1.64</v>
      </c>
      <c r="S182" s="4">
        <v>384.5</v>
      </c>
      <c r="T182" s="5">
        <v>4.833</v>
      </c>
      <c r="U182" s="5">
        <v>9.666</v>
      </c>
      <c r="V182" s="5">
        <v>5.95</v>
      </c>
      <c r="W182" s="5">
        <v>11.9</v>
      </c>
      <c r="X182" s="4">
        <v>769</v>
      </c>
    </row>
    <row r="183" ht="14.5" customHeight="1" spans="2:24">
      <c r="B183" s="6" t="str">
        <f t="shared" si="2"/>
        <v>43115-DT1EJ20250101-A-JIEU8015558-PARTS</v>
      </c>
      <c r="C183" t="s">
        <v>80</v>
      </c>
      <c r="D183" t="s">
        <v>81</v>
      </c>
      <c r="E183" t="s">
        <v>82</v>
      </c>
      <c r="F183" t="s">
        <v>83</v>
      </c>
      <c r="G183" s="1" t="s">
        <v>84</v>
      </c>
      <c r="I183" s="1" t="s">
        <v>85</v>
      </c>
      <c r="J183" s="1" t="s">
        <v>101</v>
      </c>
      <c r="K183" s="1" t="s">
        <v>98</v>
      </c>
      <c r="L183">
        <v>8421320000</v>
      </c>
      <c r="M183" s="2" t="s">
        <v>99</v>
      </c>
      <c r="N183" s="3" t="s">
        <v>100</v>
      </c>
      <c r="O183" s="1">
        <v>2</v>
      </c>
      <c r="P183" s="4">
        <v>355.21</v>
      </c>
      <c r="Q183" s="4">
        <v>56.94</v>
      </c>
      <c r="R183" s="4">
        <v>1.64</v>
      </c>
      <c r="S183" s="4">
        <v>384.5</v>
      </c>
      <c r="T183" s="5">
        <v>4.833</v>
      </c>
      <c r="U183" s="5">
        <v>9.666</v>
      </c>
      <c r="V183" s="5">
        <v>5.95</v>
      </c>
      <c r="W183" s="5">
        <v>11.9</v>
      </c>
      <c r="X183" s="4">
        <v>769</v>
      </c>
    </row>
    <row r="184" ht="14.5" customHeight="1" spans="2:24">
      <c r="B184" s="6" t="str">
        <f t="shared" si="2"/>
        <v>43115-DT1EJ20250101-A-JIEU8015558-PARTS</v>
      </c>
      <c r="C184" t="s">
        <v>80</v>
      </c>
      <c r="D184" t="s">
        <v>81</v>
      </c>
      <c r="E184" t="s">
        <v>82</v>
      </c>
      <c r="F184" t="s">
        <v>83</v>
      </c>
      <c r="G184" s="1" t="s">
        <v>84</v>
      </c>
      <c r="I184" s="1" t="s">
        <v>85</v>
      </c>
      <c r="J184" s="1" t="s">
        <v>101</v>
      </c>
      <c r="K184" s="1" t="s">
        <v>98</v>
      </c>
      <c r="L184">
        <v>8421320000</v>
      </c>
      <c r="M184" s="2" t="s">
        <v>99</v>
      </c>
      <c r="N184" s="3" t="s">
        <v>100</v>
      </c>
      <c r="O184" s="1">
        <v>2</v>
      </c>
      <c r="P184" s="4">
        <v>355.21</v>
      </c>
      <c r="Q184" s="4">
        <v>56.94</v>
      </c>
      <c r="R184" s="4">
        <v>1.64</v>
      </c>
      <c r="S184" s="4">
        <v>384.5</v>
      </c>
      <c r="T184" s="5">
        <v>4.833</v>
      </c>
      <c r="U184" s="5">
        <v>9.666</v>
      </c>
      <c r="V184" s="5">
        <v>5.95</v>
      </c>
      <c r="W184" s="5">
        <v>11.9</v>
      </c>
      <c r="X184" s="4">
        <v>769</v>
      </c>
    </row>
    <row r="185" ht="14.5" customHeight="1" spans="2:24">
      <c r="B185" s="6" t="str">
        <f t="shared" si="2"/>
        <v>43115-DT1EJ20250101-A-JIEU8015558-PARTS</v>
      </c>
      <c r="C185" t="s">
        <v>80</v>
      </c>
      <c r="D185" t="s">
        <v>81</v>
      </c>
      <c r="E185" t="s">
        <v>82</v>
      </c>
      <c r="F185" t="s">
        <v>83</v>
      </c>
      <c r="G185" s="1" t="s">
        <v>84</v>
      </c>
      <c r="I185" s="1" t="s">
        <v>85</v>
      </c>
      <c r="J185" s="1" t="s">
        <v>101</v>
      </c>
      <c r="K185" s="1" t="s">
        <v>98</v>
      </c>
      <c r="L185">
        <v>8421320000</v>
      </c>
      <c r="M185" s="2" t="s">
        <v>99</v>
      </c>
      <c r="N185" s="3" t="s">
        <v>100</v>
      </c>
      <c r="O185" s="1">
        <v>2</v>
      </c>
      <c r="P185" s="4">
        <v>355.21</v>
      </c>
      <c r="Q185" s="4">
        <v>56.94</v>
      </c>
      <c r="R185" s="4">
        <v>1.64</v>
      </c>
      <c r="S185" s="4">
        <v>384.5</v>
      </c>
      <c r="T185" s="5">
        <v>4.833</v>
      </c>
      <c r="U185" s="5">
        <v>9.666</v>
      </c>
      <c r="V185" s="5">
        <v>5.95</v>
      </c>
      <c r="W185" s="5">
        <v>11.9</v>
      </c>
      <c r="X185" s="4">
        <v>769</v>
      </c>
    </row>
    <row r="186" ht="14.5" customHeight="1" spans="2:24">
      <c r="B186" s="6" t="str">
        <f t="shared" si="2"/>
        <v>43115-DT1EJ20250101-A-JIEU8015558-PARTS</v>
      </c>
      <c r="C186" t="s">
        <v>80</v>
      </c>
      <c r="D186" t="s">
        <v>81</v>
      </c>
      <c r="E186" t="s">
        <v>82</v>
      </c>
      <c r="F186" t="s">
        <v>83</v>
      </c>
      <c r="G186" s="1" t="s">
        <v>84</v>
      </c>
      <c r="I186" s="1" t="s">
        <v>85</v>
      </c>
      <c r="J186" s="1" t="s">
        <v>101</v>
      </c>
      <c r="K186" s="1" t="s">
        <v>98</v>
      </c>
      <c r="L186">
        <v>8421320000</v>
      </c>
      <c r="M186" s="2" t="s">
        <v>99</v>
      </c>
      <c r="N186" s="3" t="s">
        <v>100</v>
      </c>
      <c r="O186" s="1">
        <v>2</v>
      </c>
      <c r="P186" s="4">
        <v>355.21</v>
      </c>
      <c r="Q186" s="4">
        <v>56.94</v>
      </c>
      <c r="R186" s="4">
        <v>1.64</v>
      </c>
      <c r="S186" s="4">
        <v>384.5</v>
      </c>
      <c r="T186" s="5">
        <v>4.833</v>
      </c>
      <c r="U186" s="5">
        <v>9.666</v>
      </c>
      <c r="V186" s="5">
        <v>5.95</v>
      </c>
      <c r="W186" s="5">
        <v>11.9</v>
      </c>
      <c r="X186" s="4">
        <v>769</v>
      </c>
    </row>
    <row r="187" ht="14.5" customHeight="1" spans="2:24">
      <c r="B187" s="6" t="str">
        <f t="shared" si="2"/>
        <v>43115-DT1EJ20250101-A-JIEU8015558-PARTS</v>
      </c>
      <c r="C187" t="s">
        <v>80</v>
      </c>
      <c r="D187" t="s">
        <v>81</v>
      </c>
      <c r="E187" t="s">
        <v>82</v>
      </c>
      <c r="F187" t="s">
        <v>83</v>
      </c>
      <c r="G187" s="1" t="s">
        <v>84</v>
      </c>
      <c r="I187" s="1" t="s">
        <v>85</v>
      </c>
      <c r="J187" s="1" t="s">
        <v>101</v>
      </c>
      <c r="K187" s="1" t="s">
        <v>98</v>
      </c>
      <c r="L187">
        <v>8421320000</v>
      </c>
      <c r="M187" s="2" t="s">
        <v>99</v>
      </c>
      <c r="N187" s="3" t="s">
        <v>100</v>
      </c>
      <c r="O187" s="1">
        <v>2</v>
      </c>
      <c r="P187" s="4">
        <v>355.21</v>
      </c>
      <c r="Q187" s="4">
        <v>56.94</v>
      </c>
      <c r="R187" s="4">
        <v>1.64</v>
      </c>
      <c r="S187" s="4">
        <v>384.5</v>
      </c>
      <c r="T187" s="5">
        <v>4.833</v>
      </c>
      <c r="U187" s="5">
        <v>9.666</v>
      </c>
      <c r="V187" s="5">
        <v>5.95</v>
      </c>
      <c r="W187" s="5">
        <v>11.9</v>
      </c>
      <c r="X187" s="4">
        <v>769</v>
      </c>
    </row>
    <row r="188" ht="14.5" customHeight="1" spans="2:24">
      <c r="B188" s="6" t="str">
        <f t="shared" si="2"/>
        <v>43115-DT1EJ20250101-A-JIEU8015558-PARTS</v>
      </c>
      <c r="C188" t="s">
        <v>80</v>
      </c>
      <c r="D188" t="s">
        <v>81</v>
      </c>
      <c r="E188" t="s">
        <v>82</v>
      </c>
      <c r="F188" t="s">
        <v>83</v>
      </c>
      <c r="G188" s="1" t="s">
        <v>84</v>
      </c>
      <c r="I188" s="1" t="s">
        <v>85</v>
      </c>
      <c r="J188" s="1" t="s">
        <v>101</v>
      </c>
      <c r="K188" s="1" t="s">
        <v>98</v>
      </c>
      <c r="L188">
        <v>8421320000</v>
      </c>
      <c r="M188" s="2" t="s">
        <v>99</v>
      </c>
      <c r="N188" s="3" t="s">
        <v>100</v>
      </c>
      <c r="O188" s="1">
        <v>2</v>
      </c>
      <c r="P188" s="4">
        <v>355.21</v>
      </c>
      <c r="Q188" s="4">
        <v>56.94</v>
      </c>
      <c r="R188" s="4">
        <v>1.64</v>
      </c>
      <c r="S188" s="4">
        <v>384.5</v>
      </c>
      <c r="T188" s="5">
        <v>4.833</v>
      </c>
      <c r="U188" s="5">
        <v>9.666</v>
      </c>
      <c r="V188" s="5">
        <v>5.95</v>
      </c>
      <c r="W188" s="5">
        <v>11.9</v>
      </c>
      <c r="X188" s="4">
        <v>769</v>
      </c>
    </row>
    <row r="189" ht="14.5" customHeight="1" spans="2:24">
      <c r="B189" s="6" t="str">
        <f t="shared" si="2"/>
        <v>43115-DT1EJ20250101-A-JIEU8015558-PARTS</v>
      </c>
      <c r="C189" t="s">
        <v>80</v>
      </c>
      <c r="D189" t="s">
        <v>81</v>
      </c>
      <c r="E189" t="s">
        <v>82</v>
      </c>
      <c r="F189" t="s">
        <v>83</v>
      </c>
      <c r="G189" s="1" t="s">
        <v>84</v>
      </c>
      <c r="I189" s="1" t="s">
        <v>85</v>
      </c>
      <c r="J189" s="1" t="s">
        <v>101</v>
      </c>
      <c r="K189" s="1" t="s">
        <v>98</v>
      </c>
      <c r="L189">
        <v>8421320000</v>
      </c>
      <c r="M189" s="2" t="s">
        <v>99</v>
      </c>
      <c r="N189" s="3" t="s">
        <v>100</v>
      </c>
      <c r="O189" s="1">
        <v>2</v>
      </c>
      <c r="P189" s="4">
        <v>355.21</v>
      </c>
      <c r="Q189" s="4">
        <v>56.94</v>
      </c>
      <c r="R189" s="4">
        <v>1.64</v>
      </c>
      <c r="S189" s="4">
        <v>384.5</v>
      </c>
      <c r="T189" s="5">
        <v>4.833</v>
      </c>
      <c r="U189" s="5">
        <v>9.666</v>
      </c>
      <c r="V189" s="5">
        <v>5.95</v>
      </c>
      <c r="W189" s="5">
        <v>11.9</v>
      </c>
      <c r="X189" s="4">
        <v>769</v>
      </c>
    </row>
    <row r="190" ht="14.5" customHeight="1" spans="2:24">
      <c r="B190" s="6" t="str">
        <f t="shared" si="2"/>
        <v>43115-DT1EJ20250101-A-JIEU8015558-PARTS</v>
      </c>
      <c r="C190" t="s">
        <v>80</v>
      </c>
      <c r="D190" t="s">
        <v>81</v>
      </c>
      <c r="E190" t="s">
        <v>82</v>
      </c>
      <c r="F190" t="s">
        <v>83</v>
      </c>
      <c r="G190" s="1" t="s">
        <v>84</v>
      </c>
      <c r="I190" s="1" t="s">
        <v>85</v>
      </c>
      <c r="J190" s="1" t="s">
        <v>101</v>
      </c>
      <c r="K190" s="1" t="s">
        <v>98</v>
      </c>
      <c r="L190">
        <v>8421320000</v>
      </c>
      <c r="M190" s="2" t="s">
        <v>99</v>
      </c>
      <c r="N190" s="3" t="s">
        <v>100</v>
      </c>
      <c r="O190" s="1">
        <v>2</v>
      </c>
      <c r="P190" s="4">
        <v>355.21</v>
      </c>
      <c r="Q190" s="4">
        <v>56.94</v>
      </c>
      <c r="R190" s="4">
        <v>1.64</v>
      </c>
      <c r="S190" s="4">
        <v>384.5</v>
      </c>
      <c r="T190" s="5">
        <v>4.833</v>
      </c>
      <c r="U190" s="5">
        <v>9.666</v>
      </c>
      <c r="V190" s="5">
        <v>5.95</v>
      </c>
      <c r="W190" s="5">
        <v>11.9</v>
      </c>
      <c r="X190" s="4">
        <v>769</v>
      </c>
    </row>
    <row r="191" ht="14.5" customHeight="1" spans="2:24">
      <c r="B191" s="6" t="str">
        <f t="shared" si="2"/>
        <v>43115-DT1EJ20250101-A-JIEU8015558-PARTS</v>
      </c>
      <c r="C191" t="s">
        <v>80</v>
      </c>
      <c r="D191" t="s">
        <v>81</v>
      </c>
      <c r="E191" t="s">
        <v>82</v>
      </c>
      <c r="F191" t="s">
        <v>83</v>
      </c>
      <c r="G191" s="1" t="s">
        <v>84</v>
      </c>
      <c r="I191" s="1" t="s">
        <v>85</v>
      </c>
      <c r="J191" s="1" t="s">
        <v>101</v>
      </c>
      <c r="K191" s="1" t="s">
        <v>98</v>
      </c>
      <c r="L191">
        <v>8421320000</v>
      </c>
      <c r="M191" s="2" t="s">
        <v>99</v>
      </c>
      <c r="N191" s="3" t="s">
        <v>100</v>
      </c>
      <c r="O191" s="1">
        <v>2</v>
      </c>
      <c r="P191" s="4">
        <v>355.21</v>
      </c>
      <c r="Q191" s="4">
        <v>56.94</v>
      </c>
      <c r="R191" s="4">
        <v>1.64</v>
      </c>
      <c r="S191" s="4">
        <v>384.5</v>
      </c>
      <c r="T191" s="5">
        <v>4.833</v>
      </c>
      <c r="U191" s="5">
        <v>9.666</v>
      </c>
      <c r="V191" s="5">
        <v>5.95</v>
      </c>
      <c r="W191" s="5">
        <v>11.9</v>
      </c>
      <c r="X191" s="4">
        <v>769</v>
      </c>
    </row>
    <row r="192" ht="14.5" customHeight="1" spans="2:24">
      <c r="B192" s="6" t="str">
        <f t="shared" si="2"/>
        <v>43115-DT1EJ20250101-A-JIEU8015558-PARTS</v>
      </c>
      <c r="C192" t="s">
        <v>80</v>
      </c>
      <c r="D192" t="s">
        <v>81</v>
      </c>
      <c r="E192" t="s">
        <v>82</v>
      </c>
      <c r="F192" t="s">
        <v>83</v>
      </c>
      <c r="G192" s="1" t="s">
        <v>84</v>
      </c>
      <c r="I192" s="1" t="s">
        <v>85</v>
      </c>
      <c r="J192" s="1" t="s">
        <v>101</v>
      </c>
      <c r="K192" s="1" t="s">
        <v>98</v>
      </c>
      <c r="L192">
        <v>8421320000</v>
      </c>
      <c r="M192" s="2" t="s">
        <v>99</v>
      </c>
      <c r="N192" s="3" t="s">
        <v>100</v>
      </c>
      <c r="O192" s="1">
        <v>2</v>
      </c>
      <c r="P192" s="4">
        <v>355.21</v>
      </c>
      <c r="Q192" s="4">
        <v>56.94</v>
      </c>
      <c r="R192" s="4">
        <v>1.64</v>
      </c>
      <c r="S192" s="4">
        <v>384.5</v>
      </c>
      <c r="T192" s="5">
        <v>4.833</v>
      </c>
      <c r="U192" s="5">
        <v>9.666</v>
      </c>
      <c r="V192" s="5">
        <v>5.95</v>
      </c>
      <c r="W192" s="5">
        <v>11.9</v>
      </c>
      <c r="X192" s="4">
        <v>769</v>
      </c>
    </row>
    <row r="193" ht="14.5" customHeight="1" spans="2:28">
      <c r="B193" s="6" t="str">
        <f t="shared" si="2"/>
        <v>43115-DT1EJ20250101-A-JIEU8015558-PARTS</v>
      </c>
      <c r="C193" t="s">
        <v>80</v>
      </c>
      <c r="D193" t="s">
        <v>81</v>
      </c>
      <c r="E193" t="s">
        <v>82</v>
      </c>
      <c r="F193" t="s">
        <v>83</v>
      </c>
      <c r="G193" s="1" t="s">
        <v>84</v>
      </c>
      <c r="I193" s="1" t="s">
        <v>85</v>
      </c>
      <c r="J193" s="1" t="s">
        <v>101</v>
      </c>
      <c r="K193" s="1" t="s">
        <v>98</v>
      </c>
      <c r="L193">
        <v>8421320000</v>
      </c>
      <c r="M193" s="2" t="s">
        <v>99</v>
      </c>
      <c r="N193" s="3" t="s">
        <v>100</v>
      </c>
      <c r="O193" s="1">
        <v>2</v>
      </c>
      <c r="P193" s="4">
        <v>355.21</v>
      </c>
      <c r="Q193" s="4">
        <v>56.94</v>
      </c>
      <c r="R193" s="4">
        <v>1.64</v>
      </c>
      <c r="S193" s="4">
        <v>384.5</v>
      </c>
      <c r="T193" s="5">
        <v>4.833</v>
      </c>
      <c r="U193" s="5">
        <v>9.666</v>
      </c>
      <c r="V193" s="5">
        <v>5.95</v>
      </c>
      <c r="W193" s="5">
        <v>11.9</v>
      </c>
      <c r="X193" s="4">
        <v>769</v>
      </c>
    </row>
    <row r="194" ht="14.5" customHeight="1" spans="2:28">
      <c r="B194" s="6" t="str">
        <f t="shared" ref="B194:B257" si="3">CONCATENATE(C194,"-",E194,"-",G194)</f>
        <v>43115-DT1EJ20250101-A-JIEU8015558-PARTS</v>
      </c>
      <c r="C194" t="s">
        <v>80</v>
      </c>
      <c r="D194" t="s">
        <v>81</v>
      </c>
      <c r="E194" t="s">
        <v>82</v>
      </c>
      <c r="F194" t="s">
        <v>83</v>
      </c>
      <c r="G194" s="1" t="s">
        <v>84</v>
      </c>
      <c r="I194" s="1" t="s">
        <v>85</v>
      </c>
      <c r="J194" s="1" t="s">
        <v>101</v>
      </c>
      <c r="K194" s="1" t="s">
        <v>98</v>
      </c>
      <c r="L194">
        <v>8421320000</v>
      </c>
      <c r="M194" s="2" t="s">
        <v>99</v>
      </c>
      <c r="N194" s="3" t="s">
        <v>100</v>
      </c>
      <c r="O194" s="1">
        <v>2</v>
      </c>
      <c r="P194" s="4">
        <v>355.21</v>
      </c>
      <c r="Q194" s="4">
        <v>56.94</v>
      </c>
      <c r="R194" s="4">
        <v>1.64</v>
      </c>
      <c r="S194" s="4">
        <v>384.5</v>
      </c>
      <c r="T194" s="5">
        <v>4.833</v>
      </c>
      <c r="U194" s="5">
        <v>9.666</v>
      </c>
      <c r="V194" s="5">
        <v>5.95</v>
      </c>
      <c r="W194" s="5">
        <v>11.9</v>
      </c>
      <c r="X194" s="4">
        <v>769</v>
      </c>
    </row>
    <row r="195" ht="14.5" customHeight="1" spans="2:28">
      <c r="B195" s="6" t="str">
        <f t="shared" si="3"/>
        <v>43115-DT1EJ20250101-A-JIEU8015558-PARTS</v>
      </c>
      <c r="C195" t="s">
        <v>80</v>
      </c>
      <c r="D195" t="s">
        <v>81</v>
      </c>
      <c r="E195" t="s">
        <v>82</v>
      </c>
      <c r="F195" t="s">
        <v>83</v>
      </c>
      <c r="G195" s="1" t="s">
        <v>84</v>
      </c>
      <c r="I195" s="1" t="s">
        <v>85</v>
      </c>
      <c r="J195" s="1" t="s">
        <v>101</v>
      </c>
      <c r="K195" s="1" t="s">
        <v>98</v>
      </c>
      <c r="L195">
        <v>8421320000</v>
      </c>
      <c r="M195" s="2" t="s">
        <v>99</v>
      </c>
      <c r="N195" s="3" t="s">
        <v>100</v>
      </c>
      <c r="O195" s="1">
        <v>2</v>
      </c>
      <c r="P195" s="4">
        <v>355.21</v>
      </c>
      <c r="Q195" s="4">
        <v>56.94</v>
      </c>
      <c r="R195" s="4">
        <v>1.64</v>
      </c>
      <c r="S195" s="4">
        <v>384.5</v>
      </c>
      <c r="T195" s="5">
        <v>4.833</v>
      </c>
      <c r="U195" s="5">
        <v>9.666</v>
      </c>
      <c r="V195" s="5">
        <v>5.95</v>
      </c>
      <c r="W195" s="5">
        <v>11.9</v>
      </c>
      <c r="X195" s="4">
        <v>769</v>
      </c>
    </row>
    <row r="196" ht="14.5" customHeight="1" spans="2:28">
      <c r="B196" s="6" t="str">
        <f t="shared" si="3"/>
        <v>43115-DT1EJ20250101-A-JIEU8015558-PARTS</v>
      </c>
      <c r="C196" t="s">
        <v>80</v>
      </c>
      <c r="D196" t="s">
        <v>81</v>
      </c>
      <c r="E196" t="s">
        <v>82</v>
      </c>
      <c r="F196" t="s">
        <v>83</v>
      </c>
      <c r="G196" s="1" t="s">
        <v>84</v>
      </c>
      <c r="I196" s="1" t="s">
        <v>85</v>
      </c>
      <c r="J196" s="1" t="s">
        <v>101</v>
      </c>
      <c r="K196" s="1" t="s">
        <v>98</v>
      </c>
      <c r="L196">
        <v>8421320000</v>
      </c>
      <c r="M196" s="2" t="s">
        <v>99</v>
      </c>
      <c r="N196" s="3" t="s">
        <v>100</v>
      </c>
      <c r="O196" s="1">
        <v>2</v>
      </c>
      <c r="P196" s="4">
        <v>355.21</v>
      </c>
      <c r="Q196" s="4">
        <v>56.94</v>
      </c>
      <c r="R196" s="4">
        <v>1.64</v>
      </c>
      <c r="S196" s="4">
        <v>384.5</v>
      </c>
      <c r="T196" s="5">
        <v>4.833</v>
      </c>
      <c r="U196" s="5">
        <v>9.666</v>
      </c>
      <c r="V196" s="5">
        <v>5.95</v>
      </c>
      <c r="W196" s="5">
        <v>11.9</v>
      </c>
      <c r="X196" s="4">
        <v>769</v>
      </c>
    </row>
    <row r="197" ht="14.5" customHeight="1" spans="2:28">
      <c r="B197" s="6" t="str">
        <f t="shared" si="3"/>
        <v>43115-DT1EJ20250101-A-JIEU8015558-PARTS</v>
      </c>
      <c r="C197" t="s">
        <v>80</v>
      </c>
      <c r="D197" t="s">
        <v>81</v>
      </c>
      <c r="E197" t="s">
        <v>82</v>
      </c>
      <c r="F197" t="s">
        <v>83</v>
      </c>
      <c r="G197" s="1" t="s">
        <v>84</v>
      </c>
      <c r="I197" s="1" t="s">
        <v>85</v>
      </c>
      <c r="J197" s="1" t="s">
        <v>101</v>
      </c>
      <c r="K197" s="1" t="s">
        <v>98</v>
      </c>
      <c r="L197">
        <v>8421320000</v>
      </c>
      <c r="M197" s="2" t="s">
        <v>99</v>
      </c>
      <c r="N197" s="3" t="s">
        <v>100</v>
      </c>
      <c r="O197" s="1">
        <v>2</v>
      </c>
      <c r="P197" s="4">
        <v>355.21</v>
      </c>
      <c r="Q197" s="4">
        <v>56.94</v>
      </c>
      <c r="R197" s="4">
        <v>1.64</v>
      </c>
      <c r="S197" s="4">
        <v>384.5</v>
      </c>
      <c r="T197" s="5">
        <v>4.833</v>
      </c>
      <c r="U197" s="5">
        <v>9.666</v>
      </c>
      <c r="V197" s="5">
        <v>5.95</v>
      </c>
      <c r="W197" s="5">
        <v>11.9</v>
      </c>
      <c r="X197" s="4">
        <v>769</v>
      </c>
    </row>
    <row r="198" ht="14.5" customHeight="1" spans="2:28">
      <c r="B198" s="6" t="str">
        <f t="shared" si="3"/>
        <v>43115-DT1EJ20250101-A-JIEU8015558-PARTS</v>
      </c>
      <c r="C198" t="s">
        <v>80</v>
      </c>
      <c r="D198" t="s">
        <v>81</v>
      </c>
      <c r="E198" t="s">
        <v>82</v>
      </c>
      <c r="F198" t="s">
        <v>83</v>
      </c>
      <c r="G198" s="1" t="s">
        <v>84</v>
      </c>
      <c r="I198" s="1" t="s">
        <v>85</v>
      </c>
      <c r="J198" s="1" t="s">
        <v>101</v>
      </c>
      <c r="K198" s="1" t="s">
        <v>98</v>
      </c>
      <c r="L198">
        <v>8421320000</v>
      </c>
      <c r="M198" s="2" t="s">
        <v>99</v>
      </c>
      <c r="N198" s="3" t="s">
        <v>100</v>
      </c>
      <c r="O198" s="1">
        <v>2</v>
      </c>
      <c r="P198" s="4">
        <v>355.21</v>
      </c>
      <c r="Q198" s="4">
        <v>56.94</v>
      </c>
      <c r="R198" s="4">
        <v>1.64</v>
      </c>
      <c r="S198" s="4">
        <v>384.5</v>
      </c>
      <c r="T198" s="5">
        <v>4.833</v>
      </c>
      <c r="U198" s="5">
        <v>9.666</v>
      </c>
      <c r="V198" s="5">
        <v>5.95</v>
      </c>
      <c r="W198" s="5">
        <v>11.9</v>
      </c>
      <c r="X198" s="4">
        <v>769</v>
      </c>
    </row>
    <row r="199" ht="14.5" customHeight="1" spans="2:28">
      <c r="B199" s="6" t="str">
        <f t="shared" si="3"/>
        <v>43115-DT1EJ20250101-A-JIEU8015558-PARTS</v>
      </c>
      <c r="C199" t="s">
        <v>80</v>
      </c>
      <c r="D199" t="s">
        <v>81</v>
      </c>
      <c r="E199" t="s">
        <v>82</v>
      </c>
      <c r="F199" t="s">
        <v>83</v>
      </c>
      <c r="G199" s="1" t="s">
        <v>84</v>
      </c>
      <c r="I199" s="1" t="s">
        <v>85</v>
      </c>
      <c r="J199" s="1" t="s">
        <v>101</v>
      </c>
      <c r="K199" s="1" t="s">
        <v>98</v>
      </c>
      <c r="L199">
        <v>8421320000</v>
      </c>
      <c r="M199" s="2" t="s">
        <v>99</v>
      </c>
      <c r="N199" s="3" t="s">
        <v>100</v>
      </c>
      <c r="O199" s="1">
        <v>2</v>
      </c>
      <c r="P199" s="4">
        <v>355.21</v>
      </c>
      <c r="Q199" s="4">
        <v>56.94</v>
      </c>
      <c r="R199" s="4">
        <v>1.64</v>
      </c>
      <c r="S199" s="4">
        <v>384.5</v>
      </c>
      <c r="T199" s="5">
        <v>4.833</v>
      </c>
      <c r="U199" s="5">
        <v>9.666</v>
      </c>
      <c r="V199" s="5">
        <v>5.95</v>
      </c>
      <c r="W199" s="5">
        <v>11.9</v>
      </c>
      <c r="X199" s="4">
        <v>769</v>
      </c>
    </row>
    <row r="200" ht="14.5" customHeight="1" spans="2:28">
      <c r="B200" s="6" t="str">
        <f t="shared" si="3"/>
        <v>43115-DT1EJ20250101-A-JIEU8015558-PARTS</v>
      </c>
      <c r="C200" t="s">
        <v>80</v>
      </c>
      <c r="D200" t="s">
        <v>81</v>
      </c>
      <c r="E200" t="s">
        <v>82</v>
      </c>
      <c r="F200" t="s">
        <v>83</v>
      </c>
      <c r="G200" s="1" t="s">
        <v>84</v>
      </c>
      <c r="I200" s="1" t="s">
        <v>85</v>
      </c>
      <c r="J200" s="1" t="s">
        <v>101</v>
      </c>
      <c r="K200" s="1" t="s">
        <v>98</v>
      </c>
      <c r="L200">
        <v>8421320000</v>
      </c>
      <c r="M200" s="2" t="s">
        <v>99</v>
      </c>
      <c r="N200" s="3" t="s">
        <v>100</v>
      </c>
      <c r="O200" s="1">
        <v>2</v>
      </c>
      <c r="P200" s="4">
        <v>355.21</v>
      </c>
      <c r="Q200" s="4">
        <v>56.94</v>
      </c>
      <c r="R200" s="4">
        <v>1.64</v>
      </c>
      <c r="S200" s="4">
        <v>384.5</v>
      </c>
      <c r="T200" s="5">
        <v>4.833</v>
      </c>
      <c r="U200" s="5">
        <v>9.666</v>
      </c>
      <c r="V200" s="5">
        <v>5.95</v>
      </c>
      <c r="W200" s="5">
        <v>11.9</v>
      </c>
      <c r="X200" s="4">
        <v>769</v>
      </c>
    </row>
    <row r="201" ht="14.5" customHeight="1" spans="2:28">
      <c r="B201" s="6" t="str">
        <f t="shared" si="3"/>
        <v>43115-DT1EJ20250101-A-JIEU8015558-PARTS</v>
      </c>
      <c r="C201" t="s">
        <v>80</v>
      </c>
      <c r="D201" t="s">
        <v>81</v>
      </c>
      <c r="E201" t="s">
        <v>82</v>
      </c>
      <c r="F201" t="s">
        <v>83</v>
      </c>
      <c r="G201" s="1" t="s">
        <v>84</v>
      </c>
      <c r="I201" s="1" t="s">
        <v>85</v>
      </c>
      <c r="J201" s="1" t="s">
        <v>101</v>
      </c>
      <c r="K201" s="1" t="s">
        <v>98</v>
      </c>
      <c r="L201">
        <v>8421320000</v>
      </c>
      <c r="M201" s="2" t="s">
        <v>99</v>
      </c>
      <c r="N201" s="3" t="s">
        <v>100</v>
      </c>
      <c r="O201" s="1">
        <v>2</v>
      </c>
      <c r="P201" s="4">
        <v>355.21</v>
      </c>
      <c r="Q201" s="4">
        <v>56.94</v>
      </c>
      <c r="R201" s="4">
        <v>1.64</v>
      </c>
      <c r="S201" s="4">
        <v>384.5</v>
      </c>
      <c r="T201" s="5">
        <v>4.833</v>
      </c>
      <c r="U201" s="5">
        <v>9.666</v>
      </c>
      <c r="V201" s="5">
        <v>5.95</v>
      </c>
      <c r="W201" s="5">
        <v>11.9</v>
      </c>
      <c r="X201" s="4">
        <v>769</v>
      </c>
    </row>
    <row r="202" ht="14.5" customHeight="1" spans="2:28">
      <c r="B202" s="6" t="str">
        <f t="shared" si="3"/>
        <v>43115-DT1EJ20250101-A-JIEU8015558-PARTS</v>
      </c>
      <c r="C202" t="s">
        <v>80</v>
      </c>
      <c r="D202" t="s">
        <v>81</v>
      </c>
      <c r="E202" t="s">
        <v>82</v>
      </c>
      <c r="F202" t="s">
        <v>83</v>
      </c>
      <c r="G202" s="1" t="s">
        <v>84</v>
      </c>
      <c r="I202" s="1" t="s">
        <v>85</v>
      </c>
      <c r="J202" s="1" t="s">
        <v>101</v>
      </c>
      <c r="K202" s="1" t="s">
        <v>98</v>
      </c>
      <c r="L202">
        <v>8421320000</v>
      </c>
      <c r="M202" s="2" t="s">
        <v>99</v>
      </c>
      <c r="N202" s="3" t="s">
        <v>100</v>
      </c>
      <c r="O202" s="1">
        <v>2</v>
      </c>
      <c r="P202" s="4">
        <v>355.21</v>
      </c>
      <c r="Q202" s="4">
        <v>56.94</v>
      </c>
      <c r="R202" s="4">
        <v>1.64</v>
      </c>
      <c r="S202" s="4">
        <v>384.5</v>
      </c>
      <c r="T202" s="5">
        <v>4.833</v>
      </c>
      <c r="U202" s="5">
        <v>9.666</v>
      </c>
      <c r="V202" s="5">
        <v>5.95</v>
      </c>
      <c r="W202" s="5">
        <v>11.9</v>
      </c>
      <c r="X202" s="4">
        <v>769</v>
      </c>
    </row>
    <row r="203" ht="14.5" customHeight="1" spans="2:28">
      <c r="B203" s="6" t="str">
        <f t="shared" si="3"/>
        <v>43115-DT1EJ20250101-A-JIEU8015558-PARTS</v>
      </c>
      <c r="C203" t="s">
        <v>80</v>
      </c>
      <c r="D203" t="s">
        <v>81</v>
      </c>
      <c r="E203" t="s">
        <v>82</v>
      </c>
      <c r="F203" t="s">
        <v>83</v>
      </c>
      <c r="G203" s="1" t="s">
        <v>84</v>
      </c>
      <c r="I203" s="1" t="s">
        <v>85</v>
      </c>
      <c r="J203" s="1" t="s">
        <v>101</v>
      </c>
      <c r="K203" s="1" t="s">
        <v>98</v>
      </c>
      <c r="L203">
        <v>8421320000</v>
      </c>
      <c r="M203" s="2" t="s">
        <v>99</v>
      </c>
      <c r="N203" s="3" t="s">
        <v>100</v>
      </c>
      <c r="O203" s="1">
        <v>2</v>
      </c>
      <c r="P203" s="4">
        <v>355.21</v>
      </c>
      <c r="Q203" s="4">
        <v>56.94</v>
      </c>
      <c r="R203" s="4">
        <v>1.64</v>
      </c>
      <c r="S203" s="4">
        <v>384.5</v>
      </c>
      <c r="T203" s="5">
        <v>4.833</v>
      </c>
      <c r="U203" s="5">
        <v>9.666</v>
      </c>
      <c r="V203" s="5">
        <v>5.95</v>
      </c>
      <c r="W203" s="5">
        <v>11.9</v>
      </c>
      <c r="X203" s="4">
        <v>769</v>
      </c>
    </row>
    <row r="204" ht="14.5" customHeight="1" spans="2:28">
      <c r="B204" s="6" t="str">
        <f t="shared" si="3"/>
        <v>43115-DT1EJ20250101-A-JIEU8015558-PARTS</v>
      </c>
      <c r="C204" t="s">
        <v>80</v>
      </c>
      <c r="D204" t="s">
        <v>81</v>
      </c>
      <c r="E204" t="s">
        <v>82</v>
      </c>
      <c r="F204" t="s">
        <v>83</v>
      </c>
      <c r="G204" s="1" t="s">
        <v>84</v>
      </c>
      <c r="I204" s="1" t="s">
        <v>85</v>
      </c>
      <c r="J204" s="1" t="s">
        <v>101</v>
      </c>
      <c r="K204" s="1" t="s">
        <v>98</v>
      </c>
      <c r="L204">
        <v>8421320000</v>
      </c>
      <c r="M204" s="2" t="s">
        <v>99</v>
      </c>
      <c r="N204" s="3" t="s">
        <v>100</v>
      </c>
      <c r="O204" s="1">
        <v>2</v>
      </c>
      <c r="P204" s="4">
        <v>355.21</v>
      </c>
      <c r="Q204" s="4">
        <v>56.94</v>
      </c>
      <c r="R204" s="4">
        <v>1.64</v>
      </c>
      <c r="S204" s="4">
        <v>384.5</v>
      </c>
      <c r="T204" s="5">
        <v>4.833</v>
      </c>
      <c r="U204" s="5">
        <v>9.666</v>
      </c>
      <c r="V204" s="5">
        <v>5.95</v>
      </c>
      <c r="W204" s="5">
        <v>11.9</v>
      </c>
      <c r="X204" s="4">
        <v>769</v>
      </c>
    </row>
    <row r="205" ht="14.5" customHeight="1" spans="2:28">
      <c r="B205" s="6" t="str">
        <f t="shared" si="3"/>
        <v>43115-DT1EJ20250101-A-JIEU8015558-PARTS</v>
      </c>
      <c r="C205" t="s">
        <v>80</v>
      </c>
      <c r="D205" t="s">
        <v>81</v>
      </c>
      <c r="E205" t="s">
        <v>82</v>
      </c>
      <c r="F205" t="s">
        <v>83</v>
      </c>
      <c r="G205" s="1" t="s">
        <v>84</v>
      </c>
      <c r="I205" s="1" t="s">
        <v>85</v>
      </c>
      <c r="J205" s="1" t="s">
        <v>101</v>
      </c>
      <c r="K205" s="1" t="s">
        <v>98</v>
      </c>
      <c r="L205">
        <v>8421320000</v>
      </c>
      <c r="M205" s="2" t="s">
        <v>99</v>
      </c>
      <c r="N205" s="3" t="s">
        <v>100</v>
      </c>
      <c r="O205" s="1">
        <v>2</v>
      </c>
      <c r="P205" s="4">
        <v>355.21</v>
      </c>
      <c r="Q205" s="4">
        <v>56.94</v>
      </c>
      <c r="R205" s="4">
        <v>1.64</v>
      </c>
      <c r="S205" s="4">
        <v>384.5</v>
      </c>
      <c r="T205" s="5">
        <v>4.833</v>
      </c>
      <c r="U205" s="5">
        <v>9.666</v>
      </c>
      <c r="V205" s="5">
        <v>5.95</v>
      </c>
      <c r="W205" s="5">
        <v>11.9</v>
      </c>
      <c r="X205" s="4">
        <v>769</v>
      </c>
    </row>
    <row r="206" ht="14.5" customHeight="1" spans="2:28">
      <c r="B206" s="6" t="str">
        <f t="shared" si="3"/>
        <v>43115-DT1EJ20250101-A-JIEU8015558-PARTS</v>
      </c>
      <c r="C206" t="s">
        <v>80</v>
      </c>
      <c r="D206" t="s">
        <v>81</v>
      </c>
      <c r="E206" t="s">
        <v>82</v>
      </c>
      <c r="F206" t="s">
        <v>83</v>
      </c>
      <c r="G206" s="1" t="s">
        <v>84</v>
      </c>
      <c r="I206" s="1" t="s">
        <v>85</v>
      </c>
      <c r="J206" s="1" t="s">
        <v>102</v>
      </c>
      <c r="K206" s="1" t="s">
        <v>103</v>
      </c>
      <c r="L206">
        <v>8708923509</v>
      </c>
      <c r="M206" s="2" t="s">
        <v>104</v>
      </c>
      <c r="N206" s="3" t="s">
        <v>105</v>
      </c>
      <c r="O206" s="1">
        <v>2</v>
      </c>
      <c r="P206" s="4">
        <v>1114.58</v>
      </c>
      <c r="Q206" s="4">
        <v>178.68</v>
      </c>
      <c r="R206" s="4">
        <v>5.14</v>
      </c>
      <c r="S206" s="4">
        <v>1206.49</v>
      </c>
      <c r="T206" s="5">
        <v>6.354</v>
      </c>
      <c r="U206" s="5">
        <v>12.708</v>
      </c>
      <c r="V206" s="5">
        <v>6.42</v>
      </c>
      <c r="W206" s="5">
        <v>12.84</v>
      </c>
      <c r="X206" s="4">
        <v>2412.98</v>
      </c>
      <c r="Y206">
        <v>2280</v>
      </c>
      <c r="Z206">
        <v>1480</v>
      </c>
      <c r="AA206">
        <v>1280</v>
      </c>
      <c r="AB206" s="1">
        <v>4.32</v>
      </c>
    </row>
    <row r="207" ht="14.5" customHeight="1" spans="2:28">
      <c r="B207" s="6" t="str">
        <f t="shared" si="3"/>
        <v>43115-DT1EJ20250101-A-JIEU8015558-PARTS</v>
      </c>
      <c r="C207" t="s">
        <v>80</v>
      </c>
      <c r="D207" t="s">
        <v>81</v>
      </c>
      <c r="E207" t="s">
        <v>82</v>
      </c>
      <c r="F207" t="s">
        <v>83</v>
      </c>
      <c r="G207" s="1" t="s">
        <v>84</v>
      </c>
      <c r="I207" s="1" t="s">
        <v>85</v>
      </c>
      <c r="J207" s="1" t="s">
        <v>102</v>
      </c>
      <c r="K207" s="1" t="s">
        <v>103</v>
      </c>
      <c r="L207">
        <v>8708923509</v>
      </c>
      <c r="M207" s="2" t="s">
        <v>104</v>
      </c>
      <c r="N207" s="3" t="s">
        <v>105</v>
      </c>
      <c r="O207" s="1">
        <v>2</v>
      </c>
      <c r="P207" s="4">
        <v>1114.58</v>
      </c>
      <c r="Q207" s="4">
        <v>178.68</v>
      </c>
      <c r="R207" s="4">
        <v>5.14</v>
      </c>
      <c r="S207" s="4">
        <v>1206.49</v>
      </c>
      <c r="T207" s="5">
        <v>6.354</v>
      </c>
      <c r="U207" s="5">
        <v>12.708</v>
      </c>
      <c r="V207" s="5">
        <v>6.42</v>
      </c>
      <c r="W207" s="5">
        <v>12.84</v>
      </c>
      <c r="X207" s="4">
        <v>2412.98</v>
      </c>
    </row>
    <row r="208" ht="14.5" customHeight="1" spans="2:28">
      <c r="B208" s="6" t="str">
        <f t="shared" si="3"/>
        <v>43115-DT1EJ20250101-A-JIEU8015558-PARTS</v>
      </c>
      <c r="C208" t="s">
        <v>80</v>
      </c>
      <c r="D208" t="s">
        <v>81</v>
      </c>
      <c r="E208" t="s">
        <v>82</v>
      </c>
      <c r="F208" t="s">
        <v>83</v>
      </c>
      <c r="G208" s="1" t="s">
        <v>84</v>
      </c>
      <c r="I208" s="1" t="s">
        <v>85</v>
      </c>
      <c r="J208" s="1" t="s">
        <v>102</v>
      </c>
      <c r="K208" s="1" t="s">
        <v>103</v>
      </c>
      <c r="L208">
        <v>8708923509</v>
      </c>
      <c r="M208" s="2" t="s">
        <v>104</v>
      </c>
      <c r="N208" s="3" t="s">
        <v>105</v>
      </c>
      <c r="O208" s="1">
        <v>2</v>
      </c>
      <c r="P208" s="4">
        <v>1114.58</v>
      </c>
      <c r="Q208" s="4">
        <v>178.68</v>
      </c>
      <c r="R208" s="4">
        <v>5.14</v>
      </c>
      <c r="S208" s="4">
        <v>1206.49</v>
      </c>
      <c r="T208" s="5">
        <v>6.354</v>
      </c>
      <c r="U208" s="5">
        <v>12.708</v>
      </c>
      <c r="V208" s="5">
        <v>6.42</v>
      </c>
      <c r="W208" s="5">
        <v>12.84</v>
      </c>
      <c r="X208" s="4">
        <v>2412.98</v>
      </c>
    </row>
    <row r="209" ht="14.5" customHeight="1" spans="2:28">
      <c r="B209" s="6" t="str">
        <f t="shared" si="3"/>
        <v>43115-DT1EJ20250101-A-JIEU8015558-PARTS</v>
      </c>
      <c r="C209" t="s">
        <v>80</v>
      </c>
      <c r="D209" t="s">
        <v>81</v>
      </c>
      <c r="E209" t="s">
        <v>82</v>
      </c>
      <c r="F209" t="s">
        <v>83</v>
      </c>
      <c r="G209" s="1" t="s">
        <v>84</v>
      </c>
      <c r="I209" s="1" t="s">
        <v>85</v>
      </c>
      <c r="J209" s="1" t="s">
        <v>102</v>
      </c>
      <c r="K209" s="1" t="s">
        <v>103</v>
      </c>
      <c r="L209">
        <v>8708923509</v>
      </c>
      <c r="M209" s="2" t="s">
        <v>104</v>
      </c>
      <c r="N209" s="3" t="s">
        <v>105</v>
      </c>
      <c r="O209" s="1">
        <v>2</v>
      </c>
      <c r="P209" s="4">
        <v>1114.58</v>
      </c>
      <c r="Q209" s="4">
        <v>178.68</v>
      </c>
      <c r="R209" s="4">
        <v>5.14</v>
      </c>
      <c r="S209" s="4">
        <v>1206.49</v>
      </c>
      <c r="T209" s="5">
        <v>6.354</v>
      </c>
      <c r="U209" s="5">
        <v>12.708</v>
      </c>
      <c r="V209" s="5">
        <v>6.42</v>
      </c>
      <c r="W209" s="5">
        <v>12.84</v>
      </c>
      <c r="X209" s="4">
        <v>2412.98</v>
      </c>
    </row>
    <row r="210" ht="14.5" customHeight="1" spans="2:28">
      <c r="B210" s="6" t="str">
        <f t="shared" si="3"/>
        <v>43115-DT1EJ20250101-A-JIEU8015558-PARTS</v>
      </c>
      <c r="C210" t="s">
        <v>80</v>
      </c>
      <c r="D210" t="s">
        <v>81</v>
      </c>
      <c r="E210" t="s">
        <v>82</v>
      </c>
      <c r="F210" t="s">
        <v>83</v>
      </c>
      <c r="G210" s="1" t="s">
        <v>84</v>
      </c>
      <c r="I210" s="1" t="s">
        <v>85</v>
      </c>
      <c r="J210" s="1" t="s">
        <v>102</v>
      </c>
      <c r="K210" s="1" t="s">
        <v>103</v>
      </c>
      <c r="L210">
        <v>8708923509</v>
      </c>
      <c r="M210" s="2" t="s">
        <v>104</v>
      </c>
      <c r="N210" s="3" t="s">
        <v>105</v>
      </c>
      <c r="O210" s="1">
        <v>2</v>
      </c>
      <c r="P210" s="4">
        <v>1114.58</v>
      </c>
      <c r="Q210" s="4">
        <v>178.68</v>
      </c>
      <c r="R210" s="4">
        <v>5.14</v>
      </c>
      <c r="S210" s="4">
        <v>1206.49</v>
      </c>
      <c r="T210" s="5">
        <v>6.354</v>
      </c>
      <c r="U210" s="5">
        <v>12.708</v>
      </c>
      <c r="V210" s="5">
        <v>6.42</v>
      </c>
      <c r="W210" s="5">
        <v>12.84</v>
      </c>
      <c r="X210" s="4">
        <v>2412.98</v>
      </c>
    </row>
    <row r="211" ht="14.5" customHeight="1" spans="2:28">
      <c r="B211" s="6" t="str">
        <f t="shared" si="3"/>
        <v>43115-DT1EJ20250101-A-JIEU8015558-PARTS</v>
      </c>
      <c r="C211" t="s">
        <v>80</v>
      </c>
      <c r="D211" t="s">
        <v>81</v>
      </c>
      <c r="E211" t="s">
        <v>82</v>
      </c>
      <c r="F211" t="s">
        <v>83</v>
      </c>
      <c r="G211" s="1" t="s">
        <v>84</v>
      </c>
      <c r="I211" s="1" t="s">
        <v>85</v>
      </c>
      <c r="J211" s="1" t="s">
        <v>102</v>
      </c>
      <c r="K211" s="1" t="s">
        <v>103</v>
      </c>
      <c r="L211">
        <v>8708923509</v>
      </c>
      <c r="M211" s="2" t="s">
        <v>104</v>
      </c>
      <c r="N211" s="3" t="s">
        <v>105</v>
      </c>
      <c r="O211" s="1">
        <v>2</v>
      </c>
      <c r="P211" s="4">
        <v>1114.58</v>
      </c>
      <c r="Q211" s="4">
        <v>178.68</v>
      </c>
      <c r="R211" s="4">
        <v>5.14</v>
      </c>
      <c r="S211" s="4">
        <v>1206.49</v>
      </c>
      <c r="T211" s="5">
        <v>6.354</v>
      </c>
      <c r="U211" s="5">
        <v>12.708</v>
      </c>
      <c r="V211" s="5">
        <v>6.42</v>
      </c>
      <c r="W211" s="5">
        <v>12.84</v>
      </c>
      <c r="X211" s="4">
        <v>2412.98</v>
      </c>
    </row>
    <row r="212" ht="14.5" customHeight="1" spans="2:28">
      <c r="B212" s="6" t="str">
        <f t="shared" si="3"/>
        <v>43115-DT1EJ20250101-A-JIEU8015558-PARTS</v>
      </c>
      <c r="C212" t="s">
        <v>80</v>
      </c>
      <c r="D212" t="s">
        <v>81</v>
      </c>
      <c r="E212" t="s">
        <v>82</v>
      </c>
      <c r="F212" t="s">
        <v>83</v>
      </c>
      <c r="G212" s="1" t="s">
        <v>84</v>
      </c>
      <c r="I212" s="1" t="s">
        <v>85</v>
      </c>
      <c r="J212" s="1" t="s">
        <v>102</v>
      </c>
      <c r="K212" s="1" t="s">
        <v>103</v>
      </c>
      <c r="L212">
        <v>8708923509</v>
      </c>
      <c r="M212" s="2" t="s">
        <v>104</v>
      </c>
      <c r="N212" s="3" t="s">
        <v>105</v>
      </c>
      <c r="O212" s="1">
        <v>2</v>
      </c>
      <c r="P212" s="4">
        <v>1114.58</v>
      </c>
      <c r="Q212" s="4">
        <v>178.68</v>
      </c>
      <c r="R212" s="4">
        <v>5.14</v>
      </c>
      <c r="S212" s="4">
        <v>1206.49</v>
      </c>
      <c r="T212" s="5">
        <v>6.354</v>
      </c>
      <c r="U212" s="5">
        <v>12.708</v>
      </c>
      <c r="V212" s="5">
        <v>6.42</v>
      </c>
      <c r="W212" s="5">
        <v>12.84</v>
      </c>
      <c r="X212" s="4">
        <v>2412.98</v>
      </c>
    </row>
    <row r="213" ht="14.5" customHeight="1" spans="2:28">
      <c r="B213" s="6" t="str">
        <f t="shared" si="3"/>
        <v>43115-DT1EJ20250101-A-JIEU8015558-PARTS</v>
      </c>
      <c r="C213" t="s">
        <v>80</v>
      </c>
      <c r="D213" t="s">
        <v>81</v>
      </c>
      <c r="E213" t="s">
        <v>82</v>
      </c>
      <c r="F213" t="s">
        <v>83</v>
      </c>
      <c r="G213" s="1" t="s">
        <v>84</v>
      </c>
      <c r="I213" s="1" t="s">
        <v>85</v>
      </c>
      <c r="J213" s="1" t="s">
        <v>102</v>
      </c>
      <c r="K213" s="1" t="s">
        <v>103</v>
      </c>
      <c r="L213">
        <v>8708923509</v>
      </c>
      <c r="M213" s="2" t="s">
        <v>104</v>
      </c>
      <c r="N213" s="3" t="s">
        <v>105</v>
      </c>
      <c r="O213" s="1">
        <v>2</v>
      </c>
      <c r="P213" s="4">
        <v>1114.58</v>
      </c>
      <c r="Q213" s="4">
        <v>178.68</v>
      </c>
      <c r="R213" s="4">
        <v>5.14</v>
      </c>
      <c r="S213" s="4">
        <v>1206.49</v>
      </c>
      <c r="T213" s="5">
        <v>6.354</v>
      </c>
      <c r="U213" s="5">
        <v>12.708</v>
      </c>
      <c r="V213" s="5">
        <v>6.42</v>
      </c>
      <c r="W213" s="5">
        <v>12.84</v>
      </c>
      <c r="X213" s="4">
        <v>2412.98</v>
      </c>
    </row>
    <row r="214" ht="14.5" customHeight="1" spans="2:28">
      <c r="B214" s="6" t="str">
        <f t="shared" si="3"/>
        <v>43115-DT1EJ20250101-A-JIEU8015558-PARTS</v>
      </c>
      <c r="C214" t="s">
        <v>80</v>
      </c>
      <c r="D214" t="s">
        <v>81</v>
      </c>
      <c r="E214" t="s">
        <v>82</v>
      </c>
      <c r="F214" t="s">
        <v>83</v>
      </c>
      <c r="G214" s="1" t="s">
        <v>84</v>
      </c>
      <c r="I214" s="1" t="s">
        <v>85</v>
      </c>
      <c r="J214" s="1" t="s">
        <v>102</v>
      </c>
      <c r="K214" s="1" t="s">
        <v>103</v>
      </c>
      <c r="L214">
        <v>8708923509</v>
      </c>
      <c r="M214" s="2" t="s">
        <v>104</v>
      </c>
      <c r="N214" s="3" t="s">
        <v>105</v>
      </c>
      <c r="O214" s="1">
        <v>2</v>
      </c>
      <c r="P214" s="4">
        <v>1114.58</v>
      </c>
      <c r="Q214" s="4">
        <v>178.68</v>
      </c>
      <c r="R214" s="4">
        <v>5.14</v>
      </c>
      <c r="S214" s="4">
        <v>1206.49</v>
      </c>
      <c r="T214" s="5">
        <v>6.354</v>
      </c>
      <c r="U214" s="5">
        <v>12.708</v>
      </c>
      <c r="V214" s="5">
        <v>6.42</v>
      </c>
      <c r="W214" s="5">
        <v>12.84</v>
      </c>
      <c r="X214" s="4">
        <v>2412.98</v>
      </c>
    </row>
    <row r="215" ht="14.5" customHeight="1" spans="2:28">
      <c r="B215" s="6" t="str">
        <f t="shared" si="3"/>
        <v>43115-DT1EJ20250101-A-JIEU8015558-PARTS</v>
      </c>
      <c r="C215" t="s">
        <v>80</v>
      </c>
      <c r="D215" t="s">
        <v>81</v>
      </c>
      <c r="E215" t="s">
        <v>82</v>
      </c>
      <c r="F215" t="s">
        <v>83</v>
      </c>
      <c r="G215" s="1" t="s">
        <v>84</v>
      </c>
      <c r="I215" s="1" t="s">
        <v>85</v>
      </c>
      <c r="J215" s="1" t="s">
        <v>102</v>
      </c>
      <c r="K215" s="1" t="s">
        <v>103</v>
      </c>
      <c r="L215">
        <v>8708923509</v>
      </c>
      <c r="M215" s="2" t="s">
        <v>104</v>
      </c>
      <c r="N215" s="3" t="s">
        <v>105</v>
      </c>
      <c r="O215" s="1">
        <v>2</v>
      </c>
      <c r="P215" s="4">
        <v>1114.58</v>
      </c>
      <c r="Q215" s="4">
        <v>178.68</v>
      </c>
      <c r="R215" s="4">
        <v>5.14</v>
      </c>
      <c r="S215" s="4">
        <v>1206.49</v>
      </c>
      <c r="T215" s="5">
        <v>6.354</v>
      </c>
      <c r="U215" s="5">
        <v>12.708</v>
      </c>
      <c r="V215" s="5">
        <v>6.42</v>
      </c>
      <c r="W215" s="5">
        <v>12.84</v>
      </c>
      <c r="X215" s="4">
        <v>2412.98</v>
      </c>
    </row>
    <row r="216" ht="14.5" customHeight="1" spans="2:28">
      <c r="B216" s="6" t="str">
        <f t="shared" si="3"/>
        <v>43115-DT1EJ20250101-A-JIEU8015558-PARTS</v>
      </c>
      <c r="C216" t="s">
        <v>80</v>
      </c>
      <c r="D216" t="s">
        <v>81</v>
      </c>
      <c r="E216" t="s">
        <v>82</v>
      </c>
      <c r="F216" t="s">
        <v>83</v>
      </c>
      <c r="G216" s="1" t="s">
        <v>84</v>
      </c>
      <c r="I216" s="1" t="s">
        <v>85</v>
      </c>
      <c r="J216" s="1" t="s">
        <v>102</v>
      </c>
      <c r="K216" s="1" t="s">
        <v>103</v>
      </c>
      <c r="L216">
        <v>8708923509</v>
      </c>
      <c r="M216" s="2" t="s">
        <v>104</v>
      </c>
      <c r="N216" s="3" t="s">
        <v>105</v>
      </c>
      <c r="O216" s="1">
        <v>2</v>
      </c>
      <c r="P216" s="4">
        <v>1114.58</v>
      </c>
      <c r="Q216" s="4">
        <v>178.68</v>
      </c>
      <c r="R216" s="4">
        <v>5.14</v>
      </c>
      <c r="S216" s="4">
        <v>1206.49</v>
      </c>
      <c r="T216" s="5">
        <v>6.354</v>
      </c>
      <c r="U216" s="5">
        <v>12.708</v>
      </c>
      <c r="V216" s="5">
        <v>6.42</v>
      </c>
      <c r="W216" s="5">
        <v>12.84</v>
      </c>
      <c r="X216" s="4">
        <v>2412.98</v>
      </c>
    </row>
    <row r="217" ht="14.5" customHeight="1" spans="2:28">
      <c r="B217" s="6" t="str">
        <f t="shared" si="3"/>
        <v>43115-DT1EJ20250101-A-JIEU8015558-PARTS</v>
      </c>
      <c r="C217" t="s">
        <v>80</v>
      </c>
      <c r="D217" t="s">
        <v>81</v>
      </c>
      <c r="E217" t="s">
        <v>82</v>
      </c>
      <c r="F217" t="s">
        <v>83</v>
      </c>
      <c r="G217" s="1" t="s">
        <v>84</v>
      </c>
      <c r="I217" s="1" t="s">
        <v>85</v>
      </c>
      <c r="J217" s="1" t="s">
        <v>102</v>
      </c>
      <c r="K217" s="1" t="s">
        <v>103</v>
      </c>
      <c r="L217">
        <v>8708923509</v>
      </c>
      <c r="M217" s="2" t="s">
        <v>104</v>
      </c>
      <c r="N217" s="3" t="s">
        <v>105</v>
      </c>
      <c r="O217" s="1">
        <v>2</v>
      </c>
      <c r="P217" s="4">
        <v>1114.58</v>
      </c>
      <c r="Q217" s="4">
        <v>178.68</v>
      </c>
      <c r="R217" s="4">
        <v>5.14</v>
      </c>
      <c r="S217" s="4">
        <v>1206.49</v>
      </c>
      <c r="T217" s="5">
        <v>6.354</v>
      </c>
      <c r="U217" s="5">
        <v>12.708</v>
      </c>
      <c r="V217" s="5">
        <v>6.42</v>
      </c>
      <c r="W217" s="5">
        <v>12.84</v>
      </c>
      <c r="X217" s="4">
        <v>2412.98</v>
      </c>
    </row>
    <row r="218" ht="14.5" customHeight="1" spans="2:28">
      <c r="B218" s="6" t="str">
        <f t="shared" si="3"/>
        <v>43115-DT1EJ20250101-A-JIEU8015558-PARTS</v>
      </c>
      <c r="C218" t="s">
        <v>80</v>
      </c>
      <c r="D218" t="s">
        <v>81</v>
      </c>
      <c r="E218" t="s">
        <v>82</v>
      </c>
      <c r="F218" t="s">
        <v>83</v>
      </c>
      <c r="G218" s="1" t="s">
        <v>84</v>
      </c>
      <c r="I218" s="1" t="s">
        <v>85</v>
      </c>
      <c r="J218" s="1" t="s">
        <v>102</v>
      </c>
      <c r="K218" s="1" t="s">
        <v>103</v>
      </c>
      <c r="L218">
        <v>8708923509</v>
      </c>
      <c r="M218" s="2" t="s">
        <v>104</v>
      </c>
      <c r="N218" s="3" t="s">
        <v>105</v>
      </c>
      <c r="O218" s="1">
        <v>2</v>
      </c>
      <c r="P218" s="4">
        <v>1114.58</v>
      </c>
      <c r="Q218" s="4">
        <v>178.68</v>
      </c>
      <c r="R218" s="4">
        <v>5.14</v>
      </c>
      <c r="S218" s="4">
        <v>1206.49</v>
      </c>
      <c r="T218" s="5">
        <v>6.354</v>
      </c>
      <c r="U218" s="5">
        <v>12.708</v>
      </c>
      <c r="V218" s="5">
        <v>6.42</v>
      </c>
      <c r="W218" s="5">
        <v>12.84</v>
      </c>
      <c r="X218" s="4">
        <v>2412.98</v>
      </c>
    </row>
    <row r="219" ht="14.5" customHeight="1" spans="2:28">
      <c r="B219" s="6" t="str">
        <f t="shared" si="3"/>
        <v>43115-DT1EJ20250101-A-JIEU8015558-PARTS</v>
      </c>
      <c r="C219" t="s">
        <v>80</v>
      </c>
      <c r="D219" t="s">
        <v>81</v>
      </c>
      <c r="E219" t="s">
        <v>82</v>
      </c>
      <c r="F219" t="s">
        <v>83</v>
      </c>
      <c r="G219" s="1" t="s">
        <v>84</v>
      </c>
      <c r="I219" s="1" t="s">
        <v>85</v>
      </c>
      <c r="J219" s="1" t="s">
        <v>102</v>
      </c>
      <c r="K219" s="1" t="s">
        <v>103</v>
      </c>
      <c r="L219">
        <v>8708923509</v>
      </c>
      <c r="M219" s="2" t="s">
        <v>104</v>
      </c>
      <c r="N219" s="3" t="s">
        <v>105</v>
      </c>
      <c r="O219" s="1">
        <v>2</v>
      </c>
      <c r="P219" s="4">
        <v>1114.58</v>
      </c>
      <c r="Q219" s="4">
        <v>178.68</v>
      </c>
      <c r="R219" s="4">
        <v>5.14</v>
      </c>
      <c r="S219" s="4">
        <v>1206.49</v>
      </c>
      <c r="T219" s="5">
        <v>6.354</v>
      </c>
      <c r="U219" s="5">
        <v>12.708</v>
      </c>
      <c r="V219" s="5">
        <v>6.42</v>
      </c>
      <c r="W219" s="5">
        <v>12.84</v>
      </c>
      <c r="X219" s="4">
        <v>2412.98</v>
      </c>
    </row>
    <row r="220" ht="14.5" customHeight="1" spans="2:28">
      <c r="B220" s="6" t="str">
        <f t="shared" si="3"/>
        <v>43115-DT1EJ20250101-A-JIEU8015558-PARTS</v>
      </c>
      <c r="C220" t="s">
        <v>80</v>
      </c>
      <c r="D220" t="s">
        <v>81</v>
      </c>
      <c r="E220" t="s">
        <v>82</v>
      </c>
      <c r="F220" t="s">
        <v>83</v>
      </c>
      <c r="G220" s="1" t="s">
        <v>84</v>
      </c>
      <c r="I220" s="1" t="s">
        <v>85</v>
      </c>
      <c r="J220" s="1" t="s">
        <v>102</v>
      </c>
      <c r="K220" s="1" t="s">
        <v>103</v>
      </c>
      <c r="L220">
        <v>8708923509</v>
      </c>
      <c r="M220" s="2" t="s">
        <v>104</v>
      </c>
      <c r="N220" s="3" t="s">
        <v>105</v>
      </c>
      <c r="O220" s="1">
        <v>2</v>
      </c>
      <c r="P220" s="4">
        <v>1114.58</v>
      </c>
      <c r="Q220" s="4">
        <v>178.68</v>
      </c>
      <c r="R220" s="4">
        <v>5.14</v>
      </c>
      <c r="S220" s="4">
        <v>1206.49</v>
      </c>
      <c r="T220" s="5">
        <v>6.354</v>
      </c>
      <c r="U220" s="5">
        <v>12.708</v>
      </c>
      <c r="V220" s="5">
        <v>6.42</v>
      </c>
      <c r="W220" s="5">
        <v>12.84</v>
      </c>
      <c r="X220" s="4">
        <v>2412.98</v>
      </c>
    </row>
    <row r="221" ht="14.5" customHeight="1" spans="2:28">
      <c r="B221" s="6" t="str">
        <f t="shared" si="3"/>
        <v>43115-DT1EJ20250101-A-JIEU8015558-PARTS</v>
      </c>
      <c r="C221" s="29" t="s">
        <v>80</v>
      </c>
      <c r="D221" s="30" t="s">
        <v>81</v>
      </c>
      <c r="E221" s="30" t="s">
        <v>82</v>
      </c>
      <c r="F221" s="30" t="s">
        <v>83</v>
      </c>
      <c r="G221" s="31" t="s">
        <v>84</v>
      </c>
      <c r="H221" s="31"/>
      <c r="I221" s="31" t="s">
        <v>85</v>
      </c>
      <c r="J221" s="31" t="s">
        <v>102</v>
      </c>
      <c r="K221" s="31" t="s">
        <v>103</v>
      </c>
      <c r="L221" s="31">
        <v>8708923509</v>
      </c>
      <c r="M221" s="32" t="s">
        <v>104</v>
      </c>
      <c r="N221" s="33" t="s">
        <v>105</v>
      </c>
      <c r="O221" s="31">
        <v>2</v>
      </c>
      <c r="P221" s="34">
        <v>1114.58</v>
      </c>
      <c r="Q221" s="34">
        <v>178.68</v>
      </c>
      <c r="R221" s="34">
        <v>5.14</v>
      </c>
      <c r="S221" s="34">
        <v>1206.49</v>
      </c>
      <c r="T221" s="35">
        <v>6.354</v>
      </c>
      <c r="U221" s="35">
        <v>12.708</v>
      </c>
      <c r="V221" s="35">
        <v>6.42</v>
      </c>
      <c r="W221" s="35">
        <v>12.84</v>
      </c>
      <c r="X221" s="34">
        <v>2412.98</v>
      </c>
      <c r="Y221" s="31"/>
      <c r="Z221" s="31"/>
      <c r="AA221" s="31"/>
      <c r="AB221" s="31"/>
    </row>
    <row r="222" ht="14.5" customHeight="1" spans="2:28">
      <c r="B222" s="6" t="str">
        <f t="shared" si="3"/>
        <v>43115-DT1EJ20250101-A-JIEU8015558-PARTS</v>
      </c>
      <c r="C222" t="s">
        <v>80</v>
      </c>
      <c r="D222" t="s">
        <v>81</v>
      </c>
      <c r="E222" t="s">
        <v>82</v>
      </c>
      <c r="F222" t="s">
        <v>83</v>
      </c>
      <c r="G222" s="1" t="s">
        <v>84</v>
      </c>
      <c r="I222" s="1" t="s">
        <v>85</v>
      </c>
      <c r="J222" s="1" t="s">
        <v>102</v>
      </c>
      <c r="K222" s="1" t="s">
        <v>103</v>
      </c>
      <c r="L222">
        <v>8708923509</v>
      </c>
      <c r="M222" s="2" t="s">
        <v>104</v>
      </c>
      <c r="N222" s="3" t="s">
        <v>105</v>
      </c>
      <c r="O222" s="1">
        <v>2</v>
      </c>
      <c r="P222" s="4">
        <v>1114.58</v>
      </c>
      <c r="Q222" s="4">
        <v>178.68</v>
      </c>
      <c r="R222" s="4">
        <v>5.14</v>
      </c>
      <c r="S222" s="4">
        <v>1206.49</v>
      </c>
      <c r="T222" s="5">
        <v>6.354</v>
      </c>
      <c r="U222" s="5">
        <v>12.708</v>
      </c>
      <c r="V222" s="5">
        <v>6.42</v>
      </c>
      <c r="W222" s="5">
        <v>12.84</v>
      </c>
      <c r="X222" s="4">
        <v>2412.98</v>
      </c>
    </row>
    <row r="223" ht="14.5" customHeight="1" spans="2:28">
      <c r="B223" s="6" t="str">
        <f t="shared" si="3"/>
        <v>43115-DT1EJ20250101-A-JIEU8015558-PARTS</v>
      </c>
      <c r="C223" t="s">
        <v>80</v>
      </c>
      <c r="D223" t="s">
        <v>81</v>
      </c>
      <c r="E223" t="s">
        <v>82</v>
      </c>
      <c r="F223" t="s">
        <v>83</v>
      </c>
      <c r="G223" s="1" t="s">
        <v>84</v>
      </c>
      <c r="I223" s="1" t="s">
        <v>85</v>
      </c>
      <c r="J223" s="1" t="s">
        <v>102</v>
      </c>
      <c r="K223" s="1" t="s">
        <v>103</v>
      </c>
      <c r="L223">
        <v>8708923509</v>
      </c>
      <c r="M223" s="2" t="s">
        <v>104</v>
      </c>
      <c r="N223" s="3" t="s">
        <v>105</v>
      </c>
      <c r="O223" s="1">
        <v>2</v>
      </c>
      <c r="P223" s="4">
        <v>1114.58</v>
      </c>
      <c r="Q223" s="4">
        <v>178.68</v>
      </c>
      <c r="R223" s="4">
        <v>5.14</v>
      </c>
      <c r="S223" s="4">
        <v>1206.49</v>
      </c>
      <c r="T223" s="5">
        <v>6.354</v>
      </c>
      <c r="U223" s="5">
        <v>12.708</v>
      </c>
      <c r="V223" s="5">
        <v>6.42</v>
      </c>
      <c r="W223" s="5">
        <v>12.84</v>
      </c>
      <c r="X223" s="4">
        <v>2412.98</v>
      </c>
    </row>
    <row r="224" ht="14.5" customHeight="1" spans="2:28">
      <c r="B224" s="6" t="str">
        <f t="shared" si="3"/>
        <v>43115-DT1EJ20250101-A-JIEU8015558-PARTS</v>
      </c>
      <c r="C224" t="s">
        <v>80</v>
      </c>
      <c r="D224" t="s">
        <v>81</v>
      </c>
      <c r="E224" t="s">
        <v>82</v>
      </c>
      <c r="F224" t="s">
        <v>83</v>
      </c>
      <c r="G224" s="1" t="s">
        <v>84</v>
      </c>
      <c r="I224" s="1" t="s">
        <v>85</v>
      </c>
      <c r="J224" s="1" t="s">
        <v>102</v>
      </c>
      <c r="K224" s="1" t="s">
        <v>103</v>
      </c>
      <c r="L224">
        <v>8708923509</v>
      </c>
      <c r="M224" s="2" t="s">
        <v>104</v>
      </c>
      <c r="N224" s="3" t="s">
        <v>105</v>
      </c>
      <c r="O224" s="1">
        <v>2</v>
      </c>
      <c r="P224" s="4">
        <v>1114.58</v>
      </c>
      <c r="Q224" s="4">
        <v>178.68</v>
      </c>
      <c r="R224" s="4">
        <v>5.14</v>
      </c>
      <c r="S224" s="4">
        <v>1206.49</v>
      </c>
      <c r="T224" s="5">
        <v>6.354</v>
      </c>
      <c r="U224" s="5">
        <v>12.708</v>
      </c>
      <c r="V224" s="5">
        <v>6.42</v>
      </c>
      <c r="W224" s="5">
        <v>12.84</v>
      </c>
      <c r="X224" s="4">
        <v>2412.98</v>
      </c>
    </row>
    <row r="225" ht="14.5" customHeight="1" spans="2:28">
      <c r="B225" s="6" t="str">
        <f t="shared" si="3"/>
        <v>43115-DT1EJ20250101-A-JIEU8015558-PARTS</v>
      </c>
      <c r="C225" t="s">
        <v>80</v>
      </c>
      <c r="D225" t="s">
        <v>81</v>
      </c>
      <c r="E225" t="s">
        <v>82</v>
      </c>
      <c r="F225" t="s">
        <v>83</v>
      </c>
      <c r="G225" s="1" t="s">
        <v>84</v>
      </c>
      <c r="I225" s="1" t="s">
        <v>85</v>
      </c>
      <c r="J225" s="1" t="s">
        <v>102</v>
      </c>
      <c r="K225" s="1" t="s">
        <v>103</v>
      </c>
      <c r="L225">
        <v>8708923509</v>
      </c>
      <c r="M225" s="2" t="s">
        <v>104</v>
      </c>
      <c r="N225" s="3" t="s">
        <v>105</v>
      </c>
      <c r="O225" s="1">
        <v>2</v>
      </c>
      <c r="P225" s="4">
        <v>1114.58</v>
      </c>
      <c r="Q225" s="4">
        <v>178.68</v>
      </c>
      <c r="R225" s="4">
        <v>5.14</v>
      </c>
      <c r="S225" s="4">
        <v>1206.49</v>
      </c>
      <c r="T225" s="5">
        <v>6.354</v>
      </c>
      <c r="U225" s="5">
        <v>12.708</v>
      </c>
      <c r="V225" s="5">
        <v>6.42</v>
      </c>
      <c r="W225" s="5">
        <v>12.84</v>
      </c>
      <c r="X225" s="4">
        <v>2412.98</v>
      </c>
    </row>
    <row r="226" ht="14.5" customHeight="1" spans="2:28">
      <c r="B226" s="6" t="str">
        <f t="shared" si="3"/>
        <v>43115-DT1EJ20250101-A-JIEU8015558-PARTS</v>
      </c>
      <c r="C226" t="s">
        <v>80</v>
      </c>
      <c r="D226" t="s">
        <v>81</v>
      </c>
      <c r="E226" t="s">
        <v>82</v>
      </c>
      <c r="F226" t="s">
        <v>83</v>
      </c>
      <c r="G226" s="1" t="s">
        <v>84</v>
      </c>
      <c r="I226" s="1" t="s">
        <v>85</v>
      </c>
      <c r="J226" s="1" t="s">
        <v>102</v>
      </c>
      <c r="K226" s="1" t="s">
        <v>103</v>
      </c>
      <c r="L226">
        <v>8708923509</v>
      </c>
      <c r="M226" s="2" t="s">
        <v>104</v>
      </c>
      <c r="N226" s="3" t="s">
        <v>105</v>
      </c>
      <c r="O226" s="1">
        <v>2</v>
      </c>
      <c r="P226" s="4">
        <v>1114.58</v>
      </c>
      <c r="Q226" s="4">
        <v>178.68</v>
      </c>
      <c r="R226" s="4">
        <v>5.14</v>
      </c>
      <c r="S226" s="4">
        <v>1206.49</v>
      </c>
      <c r="T226" s="5">
        <v>6.354</v>
      </c>
      <c r="U226" s="5">
        <v>12.708</v>
      </c>
      <c r="V226" s="5">
        <v>6.42</v>
      </c>
      <c r="W226" s="5">
        <v>12.84</v>
      </c>
      <c r="X226" s="4">
        <v>2412.98</v>
      </c>
    </row>
    <row r="227" ht="14.5" customHeight="1" spans="2:28">
      <c r="B227" s="6" t="str">
        <f t="shared" si="3"/>
        <v>43115-DT1EJ20250101-A-JIEU8015558-PARTS</v>
      </c>
      <c r="C227" t="s">
        <v>80</v>
      </c>
      <c r="D227" t="s">
        <v>81</v>
      </c>
      <c r="E227" t="s">
        <v>82</v>
      </c>
      <c r="F227" t="s">
        <v>83</v>
      </c>
      <c r="G227" s="1" t="s">
        <v>84</v>
      </c>
      <c r="I227" s="1" t="s">
        <v>85</v>
      </c>
      <c r="J227" s="1" t="s">
        <v>102</v>
      </c>
      <c r="K227" s="1" t="s">
        <v>103</v>
      </c>
      <c r="L227">
        <v>8708923509</v>
      </c>
      <c r="M227" s="2" t="s">
        <v>104</v>
      </c>
      <c r="N227" s="3" t="s">
        <v>105</v>
      </c>
      <c r="O227" s="1">
        <v>2</v>
      </c>
      <c r="P227" s="4">
        <v>1114.58</v>
      </c>
      <c r="Q227" s="4">
        <v>178.68</v>
      </c>
      <c r="R227" s="4">
        <v>5.14</v>
      </c>
      <c r="S227" s="4">
        <v>1206.49</v>
      </c>
      <c r="T227" s="5">
        <v>6.354</v>
      </c>
      <c r="U227" s="5">
        <v>12.708</v>
      </c>
      <c r="V227" s="5">
        <v>6.42</v>
      </c>
      <c r="W227" s="5">
        <v>12.84</v>
      </c>
      <c r="X227" s="4">
        <v>2412.98</v>
      </c>
    </row>
    <row r="228" ht="14.5" customHeight="1" spans="2:28">
      <c r="B228" s="6" t="str">
        <f t="shared" si="3"/>
        <v>43115-DT1EJ20250101-A-JIEU8015558-PARTS</v>
      </c>
      <c r="C228" t="s">
        <v>80</v>
      </c>
      <c r="D228" t="s">
        <v>81</v>
      </c>
      <c r="E228" t="s">
        <v>82</v>
      </c>
      <c r="F228" t="s">
        <v>83</v>
      </c>
      <c r="G228" s="1" t="s">
        <v>84</v>
      </c>
      <c r="I228" s="1" t="s">
        <v>85</v>
      </c>
      <c r="J228" s="1" t="s">
        <v>102</v>
      </c>
      <c r="K228" s="1" t="s">
        <v>103</v>
      </c>
      <c r="L228">
        <v>8708923509</v>
      </c>
      <c r="M228" s="2" t="s">
        <v>104</v>
      </c>
      <c r="N228" s="3" t="s">
        <v>105</v>
      </c>
      <c r="O228" s="1">
        <v>2</v>
      </c>
      <c r="P228" s="4">
        <v>1114.58</v>
      </c>
      <c r="Q228" s="4">
        <v>178.68</v>
      </c>
      <c r="R228" s="4">
        <v>5.14</v>
      </c>
      <c r="S228" s="4">
        <v>1206.49</v>
      </c>
      <c r="T228" s="5">
        <v>6.354</v>
      </c>
      <c r="U228" s="5">
        <v>12.708</v>
      </c>
      <c r="V228" s="5">
        <v>6.42</v>
      </c>
      <c r="W228" s="5">
        <v>12.84</v>
      </c>
      <c r="X228" s="4">
        <v>2412.98</v>
      </c>
    </row>
    <row r="229" ht="14.5" customHeight="1" spans="2:28">
      <c r="B229" s="6" t="str">
        <f t="shared" si="3"/>
        <v>43115-DT1EJ20250101-A-JIEU8015558-PARTS</v>
      </c>
      <c r="C229" s="29" t="s">
        <v>80</v>
      </c>
      <c r="D229" s="30" t="s">
        <v>81</v>
      </c>
      <c r="E229" s="30" t="s">
        <v>82</v>
      </c>
      <c r="F229" s="30" t="s">
        <v>83</v>
      </c>
      <c r="G229" s="31" t="s">
        <v>84</v>
      </c>
      <c r="H229" s="31"/>
      <c r="I229" s="31" t="s">
        <v>85</v>
      </c>
      <c r="J229" s="31" t="s">
        <v>102</v>
      </c>
      <c r="K229" s="31" t="s">
        <v>103</v>
      </c>
      <c r="L229" s="31">
        <v>8708923509</v>
      </c>
      <c r="M229" s="32" t="s">
        <v>104</v>
      </c>
      <c r="N229" s="33" t="s">
        <v>105</v>
      </c>
      <c r="O229" s="31">
        <v>2</v>
      </c>
      <c r="P229" s="34">
        <v>1114.58</v>
      </c>
      <c r="Q229" s="34">
        <v>178.68</v>
      </c>
      <c r="R229" s="34">
        <v>5.14</v>
      </c>
      <c r="S229" s="34">
        <v>1206.49</v>
      </c>
      <c r="T229" s="35">
        <v>6.354</v>
      </c>
      <c r="U229" s="35">
        <v>12.708</v>
      </c>
      <c r="V229" s="35">
        <v>6.42</v>
      </c>
      <c r="W229" s="35">
        <v>12.84</v>
      </c>
      <c r="X229" s="34">
        <v>2412.98</v>
      </c>
      <c r="Y229" s="31"/>
      <c r="Z229" s="31"/>
      <c r="AA229" s="31"/>
      <c r="AB229" s="31"/>
    </row>
    <row r="230" ht="14.5" customHeight="1" spans="2:28">
      <c r="B230" s="6" t="str">
        <f t="shared" si="3"/>
        <v>43115-DT1EJ20250101-A-JIEU8015558-PARTS</v>
      </c>
      <c r="C230" s="29" t="s">
        <v>80</v>
      </c>
      <c r="D230" s="30" t="s">
        <v>81</v>
      </c>
      <c r="E230" s="30" t="s">
        <v>82</v>
      </c>
      <c r="F230" s="30" t="s">
        <v>83</v>
      </c>
      <c r="G230" s="31" t="s">
        <v>84</v>
      </c>
      <c r="H230" s="31"/>
      <c r="I230" s="31" t="s">
        <v>85</v>
      </c>
      <c r="J230" s="31" t="s">
        <v>106</v>
      </c>
      <c r="K230" s="31" t="s">
        <v>103</v>
      </c>
      <c r="L230" s="31">
        <v>8708923509</v>
      </c>
      <c r="M230" s="32" t="s">
        <v>104</v>
      </c>
      <c r="N230" s="33" t="s">
        <v>105</v>
      </c>
      <c r="O230" s="31">
        <v>2</v>
      </c>
      <c r="P230" s="34">
        <v>1114.58</v>
      </c>
      <c r="Q230" s="34">
        <v>178.68</v>
      </c>
      <c r="R230" s="34">
        <v>5.14</v>
      </c>
      <c r="S230" s="34">
        <v>1206.49</v>
      </c>
      <c r="T230" s="35">
        <v>6.354</v>
      </c>
      <c r="U230" s="35">
        <v>12.708</v>
      </c>
      <c r="V230" s="35">
        <v>6.42</v>
      </c>
      <c r="W230" s="35">
        <v>12.84</v>
      </c>
      <c r="X230" s="34">
        <v>2412.98</v>
      </c>
      <c r="Y230" s="31">
        <v>2280</v>
      </c>
      <c r="Z230" s="31">
        <v>1480</v>
      </c>
      <c r="AA230" s="31">
        <v>1280</v>
      </c>
      <c r="AB230" s="31">
        <v>4.32</v>
      </c>
    </row>
    <row r="231" ht="14.5" customHeight="1" spans="2:28">
      <c r="B231" s="6" t="str">
        <f t="shared" si="3"/>
        <v>43115-DT1EJ20250101-A-JIEU8015558-PARTS</v>
      </c>
      <c r="C231" t="s">
        <v>80</v>
      </c>
      <c r="D231" t="s">
        <v>81</v>
      </c>
      <c r="E231" t="s">
        <v>82</v>
      </c>
      <c r="F231" t="s">
        <v>83</v>
      </c>
      <c r="G231" s="1" t="s">
        <v>84</v>
      </c>
      <c r="I231" s="1" t="s">
        <v>85</v>
      </c>
      <c r="J231" s="1" t="s">
        <v>106</v>
      </c>
      <c r="K231" s="1" t="s">
        <v>103</v>
      </c>
      <c r="L231">
        <v>8708923509</v>
      </c>
      <c r="M231" s="2" t="s">
        <v>104</v>
      </c>
      <c r="N231" s="3" t="s">
        <v>105</v>
      </c>
      <c r="O231" s="1">
        <v>2</v>
      </c>
      <c r="P231" s="4">
        <v>1114.58</v>
      </c>
      <c r="Q231" s="4">
        <v>178.68</v>
      </c>
      <c r="R231" s="4">
        <v>5.14</v>
      </c>
      <c r="S231" s="4">
        <v>1206.49</v>
      </c>
      <c r="T231" s="5">
        <v>6.354</v>
      </c>
      <c r="U231" s="5">
        <v>12.708</v>
      </c>
      <c r="V231" s="5">
        <v>6.42</v>
      </c>
      <c r="W231" s="5">
        <v>12.84</v>
      </c>
      <c r="X231" s="4">
        <v>2412.98</v>
      </c>
    </row>
    <row r="232" ht="14.5" customHeight="1" spans="2:28">
      <c r="B232" s="6" t="str">
        <f t="shared" si="3"/>
        <v>43115-DT1EJ20250101-A-JIEU8015558-PARTS</v>
      </c>
      <c r="C232" s="29" t="s">
        <v>80</v>
      </c>
      <c r="D232" s="30" t="s">
        <v>81</v>
      </c>
      <c r="E232" s="30" t="s">
        <v>82</v>
      </c>
      <c r="F232" s="30" t="s">
        <v>83</v>
      </c>
      <c r="G232" s="31" t="s">
        <v>84</v>
      </c>
      <c r="H232" s="31"/>
      <c r="I232" s="31" t="s">
        <v>85</v>
      </c>
      <c r="J232" s="31" t="s">
        <v>106</v>
      </c>
      <c r="K232" s="31" t="s">
        <v>103</v>
      </c>
      <c r="L232" s="31">
        <v>8708923509</v>
      </c>
      <c r="M232" s="32" t="s">
        <v>104</v>
      </c>
      <c r="N232" s="33" t="s">
        <v>105</v>
      </c>
      <c r="O232" s="31">
        <v>2</v>
      </c>
      <c r="P232" s="34">
        <v>1114.58</v>
      </c>
      <c r="Q232" s="34">
        <v>178.68</v>
      </c>
      <c r="R232" s="34">
        <v>5.14</v>
      </c>
      <c r="S232" s="34">
        <v>1206.49</v>
      </c>
      <c r="T232" s="35">
        <v>6.354</v>
      </c>
      <c r="U232" s="35">
        <v>12.708</v>
      </c>
      <c r="V232" s="35">
        <v>6.42</v>
      </c>
      <c r="W232" s="35">
        <v>12.84</v>
      </c>
      <c r="X232" s="34">
        <v>2412.98</v>
      </c>
      <c r="Y232" s="31"/>
      <c r="Z232" s="31"/>
      <c r="AA232" s="31"/>
      <c r="AB232" s="31"/>
    </row>
    <row r="233" ht="14.5" customHeight="1" spans="2:28">
      <c r="B233" s="6" t="str">
        <f t="shared" si="3"/>
        <v>43115-DT1EJ20250101-A-JIEU8015558-PARTS</v>
      </c>
      <c r="C233" s="29" t="s">
        <v>80</v>
      </c>
      <c r="D233" s="30" t="s">
        <v>81</v>
      </c>
      <c r="E233" s="30" t="s">
        <v>82</v>
      </c>
      <c r="F233" s="30" t="s">
        <v>83</v>
      </c>
      <c r="G233" s="31" t="s">
        <v>84</v>
      </c>
      <c r="H233" s="31"/>
      <c r="I233" s="31" t="s">
        <v>85</v>
      </c>
      <c r="J233" s="31" t="s">
        <v>106</v>
      </c>
      <c r="K233" s="31" t="s">
        <v>103</v>
      </c>
      <c r="L233" s="31">
        <v>8708923509</v>
      </c>
      <c r="M233" s="32" t="s">
        <v>104</v>
      </c>
      <c r="N233" s="33" t="s">
        <v>105</v>
      </c>
      <c r="O233" s="31">
        <v>2</v>
      </c>
      <c r="P233" s="34">
        <v>1114.58</v>
      </c>
      <c r="Q233" s="34">
        <v>178.68</v>
      </c>
      <c r="R233" s="34">
        <v>5.14</v>
      </c>
      <c r="S233" s="34">
        <v>1206.49</v>
      </c>
      <c r="T233" s="35">
        <v>6.354</v>
      </c>
      <c r="U233" s="35">
        <v>12.708</v>
      </c>
      <c r="V233" s="35">
        <v>6.42</v>
      </c>
      <c r="W233" s="35">
        <v>12.84</v>
      </c>
      <c r="X233" s="34">
        <v>2412.98</v>
      </c>
      <c r="Y233" s="31"/>
      <c r="Z233" s="31"/>
      <c r="AA233" s="31"/>
      <c r="AB233" s="31"/>
    </row>
    <row r="234" ht="14.5" customHeight="1" spans="2:28">
      <c r="B234" s="6" t="str">
        <f t="shared" si="3"/>
        <v>43115-DT1EJ20250101-A-JIEU8015558-PARTS</v>
      </c>
      <c r="C234" s="29" t="s">
        <v>80</v>
      </c>
      <c r="D234" s="30" t="s">
        <v>81</v>
      </c>
      <c r="E234" s="30" t="s">
        <v>82</v>
      </c>
      <c r="F234" s="30" t="s">
        <v>83</v>
      </c>
      <c r="G234" s="31" t="s">
        <v>84</v>
      </c>
      <c r="H234" s="31"/>
      <c r="I234" s="31" t="s">
        <v>85</v>
      </c>
      <c r="J234" s="31" t="s">
        <v>106</v>
      </c>
      <c r="K234" s="31" t="s">
        <v>103</v>
      </c>
      <c r="L234" s="31">
        <v>8708923509</v>
      </c>
      <c r="M234" s="32" t="s">
        <v>104</v>
      </c>
      <c r="N234" s="33" t="s">
        <v>105</v>
      </c>
      <c r="O234" s="31">
        <v>2</v>
      </c>
      <c r="P234" s="34">
        <v>1114.58</v>
      </c>
      <c r="Q234" s="34">
        <v>178.68</v>
      </c>
      <c r="R234" s="34">
        <v>5.14</v>
      </c>
      <c r="S234" s="34">
        <v>1206.49</v>
      </c>
      <c r="T234" s="35">
        <v>6.354</v>
      </c>
      <c r="U234" s="35">
        <v>12.708</v>
      </c>
      <c r="V234" s="35">
        <v>6.42</v>
      </c>
      <c r="W234" s="35">
        <v>12.84</v>
      </c>
      <c r="X234" s="34">
        <v>2412.98</v>
      </c>
      <c r="Y234" s="31"/>
      <c r="Z234" s="31"/>
      <c r="AA234" s="31"/>
      <c r="AB234" s="31"/>
    </row>
    <row r="235" ht="14.5" customHeight="1" spans="2:28">
      <c r="B235" s="6" t="str">
        <f t="shared" si="3"/>
        <v>43115-DT1EJ20250101-A-JIEU8015558-PARTS</v>
      </c>
      <c r="C235" s="29" t="s">
        <v>80</v>
      </c>
      <c r="D235" s="30" t="s">
        <v>81</v>
      </c>
      <c r="E235" s="30" t="s">
        <v>82</v>
      </c>
      <c r="F235" s="30" t="s">
        <v>83</v>
      </c>
      <c r="G235" s="31" t="s">
        <v>84</v>
      </c>
      <c r="H235" s="31"/>
      <c r="I235" s="31" t="s">
        <v>85</v>
      </c>
      <c r="J235" s="31" t="s">
        <v>106</v>
      </c>
      <c r="K235" s="31" t="s">
        <v>103</v>
      </c>
      <c r="L235" s="31">
        <v>8708923509</v>
      </c>
      <c r="M235" s="32" t="s">
        <v>104</v>
      </c>
      <c r="N235" s="33" t="s">
        <v>105</v>
      </c>
      <c r="O235" s="31">
        <v>2</v>
      </c>
      <c r="P235" s="34">
        <v>1114.58</v>
      </c>
      <c r="Q235" s="34">
        <v>178.68</v>
      </c>
      <c r="R235" s="34">
        <v>5.14</v>
      </c>
      <c r="S235" s="34">
        <v>1206.49</v>
      </c>
      <c r="T235" s="35">
        <v>6.354</v>
      </c>
      <c r="U235" s="35">
        <v>12.708</v>
      </c>
      <c r="V235" s="35">
        <v>6.42</v>
      </c>
      <c r="W235" s="35">
        <v>12.84</v>
      </c>
      <c r="X235" s="34">
        <v>2412.98</v>
      </c>
      <c r="Y235" s="31"/>
      <c r="Z235" s="31"/>
      <c r="AA235" s="31"/>
      <c r="AB235" s="31"/>
    </row>
    <row r="236" ht="14.5" customHeight="1" spans="2:28">
      <c r="B236" s="6" t="str">
        <f t="shared" si="3"/>
        <v>43115-DT1EJ20250101-A-JIEU8015558-PARTS</v>
      </c>
      <c r="C236" t="s">
        <v>80</v>
      </c>
      <c r="D236" t="s">
        <v>81</v>
      </c>
      <c r="E236" t="s">
        <v>82</v>
      </c>
      <c r="F236" t="s">
        <v>83</v>
      </c>
      <c r="G236" s="1" t="s">
        <v>84</v>
      </c>
      <c r="I236" s="1" t="s">
        <v>85</v>
      </c>
      <c r="J236" s="1" t="s">
        <v>106</v>
      </c>
      <c r="K236" s="1" t="s">
        <v>103</v>
      </c>
      <c r="L236">
        <v>8708923509</v>
      </c>
      <c r="M236" s="2" t="s">
        <v>104</v>
      </c>
      <c r="N236" s="3" t="s">
        <v>105</v>
      </c>
      <c r="O236" s="1">
        <v>2</v>
      </c>
      <c r="P236" s="4">
        <v>1114.58</v>
      </c>
      <c r="Q236" s="4">
        <v>178.68</v>
      </c>
      <c r="R236" s="4">
        <v>5.14</v>
      </c>
      <c r="S236" s="4">
        <v>1206.49</v>
      </c>
      <c r="T236" s="5">
        <v>6.354</v>
      </c>
      <c r="U236" s="5">
        <v>12.708</v>
      </c>
      <c r="V236" s="5">
        <v>6.42</v>
      </c>
      <c r="W236" s="5">
        <v>12.84</v>
      </c>
      <c r="X236" s="4">
        <v>2412.98</v>
      </c>
    </row>
    <row r="237" ht="14.5" customHeight="1" spans="2:28">
      <c r="B237" s="6" t="str">
        <f t="shared" si="3"/>
        <v>43115-DT1EJ20250101-A-JIEU8015558-PARTS</v>
      </c>
      <c r="C237" t="s">
        <v>80</v>
      </c>
      <c r="D237" t="s">
        <v>81</v>
      </c>
      <c r="E237" t="s">
        <v>82</v>
      </c>
      <c r="F237" t="s">
        <v>83</v>
      </c>
      <c r="G237" s="1" t="s">
        <v>84</v>
      </c>
      <c r="I237" s="1" t="s">
        <v>85</v>
      </c>
      <c r="J237" s="1" t="s">
        <v>106</v>
      </c>
      <c r="K237" s="1" t="s">
        <v>103</v>
      </c>
      <c r="L237">
        <v>8708923509</v>
      </c>
      <c r="M237" s="2" t="s">
        <v>104</v>
      </c>
      <c r="N237" s="3" t="s">
        <v>105</v>
      </c>
      <c r="O237" s="1">
        <v>2</v>
      </c>
      <c r="P237" s="4">
        <v>1114.58</v>
      </c>
      <c r="Q237" s="4">
        <v>178.68</v>
      </c>
      <c r="R237" s="4">
        <v>5.14</v>
      </c>
      <c r="S237" s="4">
        <v>1206.49</v>
      </c>
      <c r="T237" s="5">
        <v>6.354</v>
      </c>
      <c r="U237" s="5">
        <v>12.708</v>
      </c>
      <c r="V237" s="5">
        <v>6.42</v>
      </c>
      <c r="W237" s="5">
        <v>12.84</v>
      </c>
      <c r="X237" s="4">
        <v>2412.98</v>
      </c>
    </row>
    <row r="238" ht="14.5" customHeight="1" spans="2:28">
      <c r="B238" s="6" t="str">
        <f t="shared" si="3"/>
        <v>43115-DT1EJ20250101-A-JIEU8015558-PARTS</v>
      </c>
      <c r="C238" t="s">
        <v>80</v>
      </c>
      <c r="D238" t="s">
        <v>81</v>
      </c>
      <c r="E238" t="s">
        <v>82</v>
      </c>
      <c r="F238" t="s">
        <v>83</v>
      </c>
      <c r="G238" s="1" t="s">
        <v>84</v>
      </c>
      <c r="I238" s="1" t="s">
        <v>85</v>
      </c>
      <c r="J238" s="1" t="s">
        <v>106</v>
      </c>
      <c r="K238" s="1" t="s">
        <v>103</v>
      </c>
      <c r="L238">
        <v>8708923509</v>
      </c>
      <c r="M238" s="2" t="s">
        <v>104</v>
      </c>
      <c r="N238" s="3" t="s">
        <v>105</v>
      </c>
      <c r="O238" s="1">
        <v>2</v>
      </c>
      <c r="P238" s="4">
        <v>1114.58</v>
      </c>
      <c r="Q238" s="4">
        <v>178.68</v>
      </c>
      <c r="R238" s="4">
        <v>5.14</v>
      </c>
      <c r="S238" s="4">
        <v>1206.49</v>
      </c>
      <c r="T238" s="5">
        <v>6.354</v>
      </c>
      <c r="U238" s="5">
        <v>12.708</v>
      </c>
      <c r="V238" s="5">
        <v>6.42</v>
      </c>
      <c r="W238" s="5">
        <v>12.84</v>
      </c>
      <c r="X238" s="4">
        <v>2412.98</v>
      </c>
    </row>
    <row r="239" ht="14.5" customHeight="1" spans="2:28">
      <c r="B239" s="6" t="str">
        <f t="shared" si="3"/>
        <v>43115-DT1EJ20250101-A-JIEU8015558-PARTS</v>
      </c>
      <c r="C239" t="s">
        <v>80</v>
      </c>
      <c r="D239" t="s">
        <v>81</v>
      </c>
      <c r="E239" t="s">
        <v>82</v>
      </c>
      <c r="F239" t="s">
        <v>83</v>
      </c>
      <c r="G239" s="1" t="s">
        <v>84</v>
      </c>
      <c r="I239" s="1" t="s">
        <v>85</v>
      </c>
      <c r="J239" s="1" t="s">
        <v>106</v>
      </c>
      <c r="K239" s="1" t="s">
        <v>103</v>
      </c>
      <c r="L239">
        <v>8708923509</v>
      </c>
      <c r="M239" s="2" t="s">
        <v>104</v>
      </c>
      <c r="N239" s="3" t="s">
        <v>105</v>
      </c>
      <c r="O239" s="1">
        <v>2</v>
      </c>
      <c r="P239" s="4">
        <v>1114.58</v>
      </c>
      <c r="Q239" s="4">
        <v>178.68</v>
      </c>
      <c r="R239" s="4">
        <v>5.14</v>
      </c>
      <c r="S239" s="4">
        <v>1206.49</v>
      </c>
      <c r="T239" s="5">
        <v>6.354</v>
      </c>
      <c r="U239" s="5">
        <v>12.708</v>
      </c>
      <c r="V239" s="5">
        <v>6.42</v>
      </c>
      <c r="W239" s="5">
        <v>12.84</v>
      </c>
      <c r="X239" s="4">
        <v>2412.98</v>
      </c>
    </row>
    <row r="240" ht="14.5" customHeight="1" spans="2:28">
      <c r="B240" s="6" t="str">
        <f t="shared" si="3"/>
        <v>43115-DT1EJ20250101-A-JIEU8015558-PARTS</v>
      </c>
      <c r="C240" t="s">
        <v>80</v>
      </c>
      <c r="D240" t="s">
        <v>81</v>
      </c>
      <c r="E240" t="s">
        <v>82</v>
      </c>
      <c r="F240" t="s">
        <v>83</v>
      </c>
      <c r="G240" s="1" t="s">
        <v>84</v>
      </c>
      <c r="I240" s="1" t="s">
        <v>85</v>
      </c>
      <c r="J240" s="1" t="s">
        <v>106</v>
      </c>
      <c r="K240" s="1" t="s">
        <v>103</v>
      </c>
      <c r="L240">
        <v>8708923509</v>
      </c>
      <c r="M240" s="2" t="s">
        <v>104</v>
      </c>
      <c r="N240" s="3" t="s">
        <v>105</v>
      </c>
      <c r="O240" s="1">
        <v>2</v>
      </c>
      <c r="P240" s="4">
        <v>1114.58</v>
      </c>
      <c r="Q240" s="4">
        <v>178.68</v>
      </c>
      <c r="R240" s="4">
        <v>5.14</v>
      </c>
      <c r="S240" s="4">
        <v>1206.49</v>
      </c>
      <c r="T240" s="5">
        <v>6.354</v>
      </c>
      <c r="U240" s="5">
        <v>12.708</v>
      </c>
      <c r="V240" s="5">
        <v>6.42</v>
      </c>
      <c r="W240" s="5">
        <v>12.84</v>
      </c>
      <c r="X240" s="4">
        <v>2412.98</v>
      </c>
    </row>
    <row r="241" ht="14.5" customHeight="1" spans="1:28">
      <c r="B241" s="6" t="str">
        <f t="shared" si="3"/>
        <v>43115-DT1EJ20250101-A-JIEU8015558-PARTS</v>
      </c>
      <c r="C241" t="s">
        <v>80</v>
      </c>
      <c r="D241" t="s">
        <v>81</v>
      </c>
      <c r="E241" t="s">
        <v>82</v>
      </c>
      <c r="F241" t="s">
        <v>83</v>
      </c>
      <c r="G241" s="1" t="s">
        <v>84</v>
      </c>
      <c r="I241" s="1" t="s">
        <v>85</v>
      </c>
      <c r="J241" s="1" t="s">
        <v>106</v>
      </c>
      <c r="K241" s="1" t="s">
        <v>103</v>
      </c>
      <c r="L241">
        <v>8708923509</v>
      </c>
      <c r="M241" s="2" t="s">
        <v>104</v>
      </c>
      <c r="N241" s="3" t="s">
        <v>105</v>
      </c>
      <c r="O241" s="1">
        <v>2</v>
      </c>
      <c r="P241" s="4">
        <v>1114.58</v>
      </c>
      <c r="Q241" s="4">
        <v>178.68</v>
      </c>
      <c r="R241" s="4">
        <v>5.14</v>
      </c>
      <c r="S241" s="4">
        <v>1206.49</v>
      </c>
      <c r="T241" s="5">
        <v>6.354</v>
      </c>
      <c r="U241" s="5">
        <v>12.708</v>
      </c>
      <c r="V241" s="5">
        <v>6.42</v>
      </c>
      <c r="W241" s="5">
        <v>12.84</v>
      </c>
      <c r="X241" s="4">
        <v>2412.98</v>
      </c>
    </row>
    <row r="242" ht="14.5" customHeight="1" spans="1:28">
      <c r="B242" s="6" t="str">
        <f t="shared" si="3"/>
        <v>43115-DT1EJ20250101-A-JIEU8015558-PARTS</v>
      </c>
      <c r="C242" t="s">
        <v>80</v>
      </c>
      <c r="D242" t="s">
        <v>81</v>
      </c>
      <c r="E242" t="s">
        <v>82</v>
      </c>
      <c r="F242" t="s">
        <v>83</v>
      </c>
      <c r="G242" s="1" t="s">
        <v>84</v>
      </c>
      <c r="I242" s="1" t="s">
        <v>85</v>
      </c>
      <c r="J242" s="1" t="s">
        <v>106</v>
      </c>
      <c r="K242" s="1" t="s">
        <v>103</v>
      </c>
      <c r="L242">
        <v>8708923509</v>
      </c>
      <c r="M242" s="2" t="s">
        <v>104</v>
      </c>
      <c r="N242" s="3" t="s">
        <v>105</v>
      </c>
      <c r="O242" s="1">
        <v>2</v>
      </c>
      <c r="P242" s="4">
        <v>1114.58</v>
      </c>
      <c r="Q242" s="4">
        <v>178.68</v>
      </c>
      <c r="R242" s="4">
        <v>5.14</v>
      </c>
      <c r="S242" s="4">
        <v>1206.49</v>
      </c>
      <c r="T242" s="5">
        <v>6.354</v>
      </c>
      <c r="U242" s="5">
        <v>12.708</v>
      </c>
      <c r="V242" s="5">
        <v>6.42</v>
      </c>
      <c r="W242" s="5">
        <v>12.84</v>
      </c>
      <c r="X242" s="4">
        <v>2412.98</v>
      </c>
    </row>
    <row r="243" ht="14.5" customHeight="1" spans="1:28">
      <c r="B243" s="6" t="str">
        <f t="shared" si="3"/>
        <v>43115-DT1EJ20250101-A-JIEU8015558-PARTS</v>
      </c>
      <c r="C243" t="s">
        <v>80</v>
      </c>
      <c r="D243" t="s">
        <v>81</v>
      </c>
      <c r="E243" t="s">
        <v>82</v>
      </c>
      <c r="F243" t="s">
        <v>83</v>
      </c>
      <c r="G243" s="1" t="s">
        <v>84</v>
      </c>
      <c r="I243" s="1" t="s">
        <v>85</v>
      </c>
      <c r="J243" s="1" t="s">
        <v>106</v>
      </c>
      <c r="K243" s="1" t="s">
        <v>103</v>
      </c>
      <c r="L243">
        <v>8708923509</v>
      </c>
      <c r="M243" s="2" t="s">
        <v>104</v>
      </c>
      <c r="N243" s="3" t="s">
        <v>105</v>
      </c>
      <c r="O243" s="1">
        <v>2</v>
      </c>
      <c r="P243" s="4">
        <v>1114.58</v>
      </c>
      <c r="Q243" s="4">
        <v>178.68</v>
      </c>
      <c r="R243" s="4">
        <v>5.14</v>
      </c>
      <c r="S243" s="4">
        <v>1206.49</v>
      </c>
      <c r="T243" s="5">
        <v>6.354</v>
      </c>
      <c r="U243" s="5">
        <v>12.708</v>
      </c>
      <c r="V243" s="5">
        <v>6.42</v>
      </c>
      <c r="W243" s="5">
        <v>12.84</v>
      </c>
      <c r="X243" s="4">
        <v>2412.98</v>
      </c>
    </row>
    <row r="244" ht="14.5" customHeight="1" spans="1:28">
      <c r="A244" s="6" t="s">
        <v>107</v>
      </c>
      <c r="B244" s="6" t="str">
        <f t="shared" si="3"/>
        <v>43115-DT1EJ20250101-A-JIEU8015558-PARTS</v>
      </c>
      <c r="C244" s="29" t="s">
        <v>80</v>
      </c>
      <c r="D244" s="30" t="s">
        <v>81</v>
      </c>
      <c r="E244" s="30" t="s">
        <v>82</v>
      </c>
      <c r="F244" s="30" t="s">
        <v>83</v>
      </c>
      <c r="G244" s="31" t="s">
        <v>84</v>
      </c>
      <c r="H244" s="31"/>
      <c r="I244" s="31" t="s">
        <v>85</v>
      </c>
      <c r="J244" s="31" t="s">
        <v>106</v>
      </c>
      <c r="K244" s="31" t="s">
        <v>103</v>
      </c>
      <c r="L244" s="31">
        <v>8708923509</v>
      </c>
      <c r="M244" s="32" t="s">
        <v>104</v>
      </c>
      <c r="N244" s="33" t="s">
        <v>105</v>
      </c>
      <c r="O244" s="31">
        <v>2</v>
      </c>
      <c r="P244" s="34">
        <v>1114.58</v>
      </c>
      <c r="Q244" s="34">
        <v>178.68</v>
      </c>
      <c r="R244" s="34">
        <v>5.14</v>
      </c>
      <c r="S244" s="34">
        <v>1206.49</v>
      </c>
      <c r="T244" s="35">
        <v>6.354</v>
      </c>
      <c r="U244" s="35">
        <v>12.708</v>
      </c>
      <c r="V244" s="35">
        <v>6.42</v>
      </c>
      <c r="W244" s="35">
        <v>12.84</v>
      </c>
      <c r="X244" s="34">
        <v>2412.98</v>
      </c>
      <c r="Y244" s="31"/>
      <c r="Z244" s="31"/>
      <c r="AA244" s="31"/>
      <c r="AB244" s="31"/>
    </row>
    <row r="245" ht="14.5" customHeight="1" spans="1:28">
      <c r="A245" s="6" t="s">
        <v>108</v>
      </c>
      <c r="B245" s="6" t="str">
        <f t="shared" si="3"/>
        <v>43115-DT1EJ20250101-A-JIEU8015558-PARTS</v>
      </c>
      <c r="C245" s="29" t="s">
        <v>80</v>
      </c>
      <c r="D245" s="30" t="s">
        <v>81</v>
      </c>
      <c r="E245" s="30" t="s">
        <v>82</v>
      </c>
      <c r="F245" s="30" t="s">
        <v>83</v>
      </c>
      <c r="G245" s="31" t="s">
        <v>84</v>
      </c>
      <c r="H245" s="31"/>
      <c r="I245" s="31" t="s">
        <v>85</v>
      </c>
      <c r="J245" s="31" t="s">
        <v>106</v>
      </c>
      <c r="K245" s="31" t="s">
        <v>103</v>
      </c>
      <c r="L245" s="31">
        <v>8708923509</v>
      </c>
      <c r="M245" s="32" t="s">
        <v>104</v>
      </c>
      <c r="N245" s="33" t="s">
        <v>105</v>
      </c>
      <c r="O245" s="31">
        <v>2</v>
      </c>
      <c r="P245" s="34">
        <v>1114.58</v>
      </c>
      <c r="Q245" s="34">
        <v>178.68</v>
      </c>
      <c r="R245" s="34">
        <v>5.14</v>
      </c>
      <c r="S245" s="34">
        <v>1206.49</v>
      </c>
      <c r="T245" s="35">
        <v>6.354</v>
      </c>
      <c r="U245" s="35">
        <v>12.708</v>
      </c>
      <c r="V245" s="35">
        <v>6.42</v>
      </c>
      <c r="W245" s="35">
        <v>12.84</v>
      </c>
      <c r="X245" s="34">
        <v>2412.98</v>
      </c>
      <c r="Y245" s="31"/>
      <c r="Z245" s="31"/>
      <c r="AA245" s="31"/>
      <c r="AB245" s="31"/>
    </row>
    <row r="246" ht="14.5" customHeight="1" spans="1:28">
      <c r="B246" s="6" t="str">
        <f t="shared" si="3"/>
        <v>43115-DT1EJ20250101-A-JIEU8015558-PARTS</v>
      </c>
      <c r="C246" s="29" t="s">
        <v>80</v>
      </c>
      <c r="D246" s="30" t="s">
        <v>81</v>
      </c>
      <c r="E246" s="30" t="s">
        <v>82</v>
      </c>
      <c r="F246" s="30" t="s">
        <v>83</v>
      </c>
      <c r="G246" s="31" t="s">
        <v>84</v>
      </c>
      <c r="H246" s="31"/>
      <c r="I246" s="31" t="s">
        <v>85</v>
      </c>
      <c r="J246" s="31" t="s">
        <v>106</v>
      </c>
      <c r="K246" s="31" t="s">
        <v>103</v>
      </c>
      <c r="L246" s="31">
        <v>8708923509</v>
      </c>
      <c r="M246" s="32" t="s">
        <v>104</v>
      </c>
      <c r="N246" s="33" t="s">
        <v>105</v>
      </c>
      <c r="O246" s="31">
        <v>2</v>
      </c>
      <c r="P246" s="34">
        <v>1114.58</v>
      </c>
      <c r="Q246" s="34">
        <v>178.68</v>
      </c>
      <c r="R246" s="34">
        <v>5.14</v>
      </c>
      <c r="S246" s="34">
        <v>1206.49</v>
      </c>
      <c r="T246" s="35">
        <v>6.354</v>
      </c>
      <c r="U246" s="35">
        <v>12.708</v>
      </c>
      <c r="V246" s="35">
        <v>6.42</v>
      </c>
      <c r="W246" s="35">
        <v>12.84</v>
      </c>
      <c r="X246" s="34">
        <v>2412.98</v>
      </c>
      <c r="Y246" s="31"/>
      <c r="Z246" s="31"/>
      <c r="AA246" s="31"/>
      <c r="AB246" s="31"/>
    </row>
    <row r="247" ht="14.5" customHeight="1" spans="1:28">
      <c r="B247" s="6" t="str">
        <f t="shared" si="3"/>
        <v>43115-DT1EJ20250101-A-JIEU8015558-PARTS</v>
      </c>
      <c r="C247" s="29" t="s">
        <v>80</v>
      </c>
      <c r="D247" s="30" t="s">
        <v>81</v>
      </c>
      <c r="E247" s="30" t="s">
        <v>82</v>
      </c>
      <c r="F247" s="30" t="s">
        <v>83</v>
      </c>
      <c r="G247" s="31" t="s">
        <v>84</v>
      </c>
      <c r="H247" s="31"/>
      <c r="I247" s="31" t="s">
        <v>85</v>
      </c>
      <c r="J247" s="31" t="s">
        <v>106</v>
      </c>
      <c r="K247" s="31" t="s">
        <v>103</v>
      </c>
      <c r="L247" s="31">
        <v>8708923509</v>
      </c>
      <c r="M247" s="32" t="s">
        <v>104</v>
      </c>
      <c r="N247" s="33" t="s">
        <v>105</v>
      </c>
      <c r="O247" s="31">
        <v>2</v>
      </c>
      <c r="P247" s="34">
        <v>1114.58</v>
      </c>
      <c r="Q247" s="34">
        <v>178.68</v>
      </c>
      <c r="R247" s="34">
        <v>5.14</v>
      </c>
      <c r="S247" s="34">
        <v>1206.49</v>
      </c>
      <c r="T247" s="35">
        <v>6.354</v>
      </c>
      <c r="U247" s="35">
        <v>12.708</v>
      </c>
      <c r="V247" s="35">
        <v>6.42</v>
      </c>
      <c r="W247" s="35">
        <v>12.84</v>
      </c>
      <c r="X247" s="34">
        <v>2412.98</v>
      </c>
      <c r="Y247" s="31"/>
      <c r="Z247" s="31"/>
      <c r="AA247" s="31"/>
      <c r="AB247" s="31"/>
    </row>
    <row r="248" ht="14.5" customHeight="1" spans="1:28">
      <c r="B248" s="6" t="str">
        <f t="shared" si="3"/>
        <v>43115-DT1EJ20250101-A-JIEU8015558-PARTS</v>
      </c>
      <c r="C248" s="29" t="s">
        <v>80</v>
      </c>
      <c r="D248" s="30" t="s">
        <v>81</v>
      </c>
      <c r="E248" s="30" t="s">
        <v>82</v>
      </c>
      <c r="F248" s="30" t="s">
        <v>83</v>
      </c>
      <c r="G248" s="31" t="s">
        <v>84</v>
      </c>
      <c r="H248" s="31"/>
      <c r="I248" s="31" t="s">
        <v>85</v>
      </c>
      <c r="J248" s="31" t="s">
        <v>106</v>
      </c>
      <c r="K248" s="31" t="s">
        <v>103</v>
      </c>
      <c r="L248" s="31">
        <v>8708923509</v>
      </c>
      <c r="M248" s="32" t="s">
        <v>104</v>
      </c>
      <c r="N248" s="33" t="s">
        <v>105</v>
      </c>
      <c r="O248" s="31">
        <v>2</v>
      </c>
      <c r="P248" s="34">
        <v>1114.58</v>
      </c>
      <c r="Q248" s="34">
        <v>178.68</v>
      </c>
      <c r="R248" s="34">
        <v>5.14</v>
      </c>
      <c r="S248" s="34">
        <v>1206.49</v>
      </c>
      <c r="T248" s="35">
        <v>6.354</v>
      </c>
      <c r="U248" s="35">
        <v>12.708</v>
      </c>
      <c r="V248" s="35">
        <v>6.42</v>
      </c>
      <c r="W248" s="35">
        <v>12.84</v>
      </c>
      <c r="X248" s="34">
        <v>2412.98</v>
      </c>
      <c r="Y248" s="31"/>
      <c r="Z248" s="31"/>
      <c r="AA248" s="31"/>
      <c r="AB248" s="31"/>
    </row>
    <row r="249" ht="14.5" customHeight="1" spans="1:28">
      <c r="B249" s="6" t="str">
        <f t="shared" si="3"/>
        <v>43115-DT1EJ20250101-A-JIEU8015558-PARTS</v>
      </c>
      <c r="C249" s="29" t="s">
        <v>80</v>
      </c>
      <c r="D249" s="30" t="s">
        <v>81</v>
      </c>
      <c r="E249" s="30" t="s">
        <v>82</v>
      </c>
      <c r="F249" s="30" t="s">
        <v>83</v>
      </c>
      <c r="G249" s="31" t="s">
        <v>84</v>
      </c>
      <c r="H249" s="31"/>
      <c r="I249" s="31" t="s">
        <v>85</v>
      </c>
      <c r="J249" s="31" t="s">
        <v>106</v>
      </c>
      <c r="K249" s="31" t="s">
        <v>103</v>
      </c>
      <c r="L249" s="31">
        <v>8708923509</v>
      </c>
      <c r="M249" s="32" t="s">
        <v>104</v>
      </c>
      <c r="N249" s="33" t="s">
        <v>105</v>
      </c>
      <c r="O249" s="31">
        <v>2</v>
      </c>
      <c r="P249" s="34">
        <v>1114.58</v>
      </c>
      <c r="Q249" s="34">
        <v>178.68</v>
      </c>
      <c r="R249" s="34">
        <v>5.14</v>
      </c>
      <c r="S249" s="34">
        <v>1206.49</v>
      </c>
      <c r="T249" s="35">
        <v>6.354</v>
      </c>
      <c r="U249" s="35">
        <v>12.708</v>
      </c>
      <c r="V249" s="35">
        <v>6.42</v>
      </c>
      <c r="W249" s="35">
        <v>12.84</v>
      </c>
      <c r="X249" s="34">
        <v>2412.98</v>
      </c>
      <c r="Y249" s="31"/>
      <c r="Z249" s="31"/>
      <c r="AA249" s="31"/>
      <c r="AB249" s="31"/>
    </row>
    <row r="250" ht="14.5" customHeight="1" spans="1:28">
      <c r="B250" s="6" t="str">
        <f t="shared" si="3"/>
        <v>43115-DT1EJ20250101-A-JIEU8015558-PARTS</v>
      </c>
      <c r="C250" s="29" t="s">
        <v>80</v>
      </c>
      <c r="D250" s="30" t="s">
        <v>81</v>
      </c>
      <c r="E250" s="30" t="s">
        <v>82</v>
      </c>
      <c r="F250" s="30" t="s">
        <v>83</v>
      </c>
      <c r="G250" s="31" t="s">
        <v>84</v>
      </c>
      <c r="H250" s="31"/>
      <c r="I250" s="31" t="s">
        <v>85</v>
      </c>
      <c r="J250" s="31" t="s">
        <v>106</v>
      </c>
      <c r="K250" s="31" t="s">
        <v>103</v>
      </c>
      <c r="L250" s="31">
        <v>8708923509</v>
      </c>
      <c r="M250" s="32" t="s">
        <v>104</v>
      </c>
      <c r="N250" s="33" t="s">
        <v>105</v>
      </c>
      <c r="O250" s="31">
        <v>2</v>
      </c>
      <c r="P250" s="34">
        <v>1114.58</v>
      </c>
      <c r="Q250" s="34">
        <v>178.68</v>
      </c>
      <c r="R250" s="34">
        <v>5.14</v>
      </c>
      <c r="S250" s="34">
        <v>1206.49</v>
      </c>
      <c r="T250" s="35">
        <v>6.354</v>
      </c>
      <c r="U250" s="35">
        <v>12.708</v>
      </c>
      <c r="V250" s="35">
        <v>6.42</v>
      </c>
      <c r="W250" s="35">
        <v>12.84</v>
      </c>
      <c r="X250" s="34">
        <v>2412.98</v>
      </c>
      <c r="Y250" s="31"/>
      <c r="Z250" s="31"/>
      <c r="AA250" s="31"/>
      <c r="AB250" s="31"/>
    </row>
    <row r="251" ht="14.5" customHeight="1" spans="1:28">
      <c r="B251" s="6" t="str">
        <f t="shared" si="3"/>
        <v>43115-DT1EJ20250101-A-JIEU8015558-PARTS</v>
      </c>
      <c r="C251" s="29" t="s">
        <v>80</v>
      </c>
      <c r="D251" s="30" t="s">
        <v>81</v>
      </c>
      <c r="E251" s="30" t="s">
        <v>82</v>
      </c>
      <c r="F251" s="30" t="s">
        <v>83</v>
      </c>
      <c r="G251" s="31" t="s">
        <v>84</v>
      </c>
      <c r="H251" s="31"/>
      <c r="I251" s="31" t="s">
        <v>85</v>
      </c>
      <c r="J251" s="31" t="s">
        <v>106</v>
      </c>
      <c r="K251" s="31" t="s">
        <v>103</v>
      </c>
      <c r="L251" s="31">
        <v>8708923509</v>
      </c>
      <c r="M251" s="32" t="s">
        <v>104</v>
      </c>
      <c r="N251" s="33" t="s">
        <v>105</v>
      </c>
      <c r="O251" s="31">
        <v>2</v>
      </c>
      <c r="P251" s="34">
        <v>1114.58</v>
      </c>
      <c r="Q251" s="34">
        <v>178.68</v>
      </c>
      <c r="R251" s="34">
        <v>5.14</v>
      </c>
      <c r="S251" s="34">
        <v>1206.49</v>
      </c>
      <c r="T251" s="35">
        <v>6.354</v>
      </c>
      <c r="U251" s="35">
        <v>12.708</v>
      </c>
      <c r="V251" s="35">
        <v>6.42</v>
      </c>
      <c r="W251" s="35">
        <v>12.84</v>
      </c>
      <c r="X251" s="34">
        <v>2412.98</v>
      </c>
      <c r="Y251" s="31"/>
      <c r="Z251" s="31"/>
      <c r="AA251" s="31"/>
      <c r="AB251" s="31"/>
    </row>
    <row r="252" ht="14.5" customHeight="1" spans="1:28">
      <c r="B252" s="6" t="str">
        <f t="shared" si="3"/>
        <v>43115-DT1EJ20250101-A-JIEU8015558-PARTS</v>
      </c>
      <c r="C252" s="29" t="s">
        <v>80</v>
      </c>
      <c r="D252" s="30" t="s">
        <v>81</v>
      </c>
      <c r="E252" s="30" t="s">
        <v>82</v>
      </c>
      <c r="F252" s="30" t="s">
        <v>83</v>
      </c>
      <c r="G252" s="31" t="s">
        <v>84</v>
      </c>
      <c r="H252" s="31"/>
      <c r="I252" s="31" t="s">
        <v>85</v>
      </c>
      <c r="J252" s="31" t="s">
        <v>106</v>
      </c>
      <c r="K252" s="31" t="s">
        <v>103</v>
      </c>
      <c r="L252" s="31">
        <v>8708923509</v>
      </c>
      <c r="M252" s="32" t="s">
        <v>104</v>
      </c>
      <c r="N252" s="33" t="s">
        <v>105</v>
      </c>
      <c r="O252" s="31">
        <v>2</v>
      </c>
      <c r="P252" s="34">
        <v>1114.58</v>
      </c>
      <c r="Q252" s="34">
        <v>178.68</v>
      </c>
      <c r="R252" s="34">
        <v>5.14</v>
      </c>
      <c r="S252" s="34">
        <v>1206.49</v>
      </c>
      <c r="T252" s="35">
        <v>6.354</v>
      </c>
      <c r="U252" s="35">
        <v>12.708</v>
      </c>
      <c r="V252" s="35">
        <v>6.42</v>
      </c>
      <c r="W252" s="35">
        <v>12.84</v>
      </c>
      <c r="X252" s="34">
        <v>2412.98</v>
      </c>
      <c r="Y252" s="31"/>
      <c r="Z252" s="31"/>
      <c r="AA252" s="31"/>
      <c r="AB252" s="31"/>
    </row>
    <row r="253" ht="14.5" customHeight="1" spans="1:28">
      <c r="B253" s="6" t="str">
        <f t="shared" si="3"/>
        <v>43115-DT1EJ20250101-A-JIEU8015558-PARTS</v>
      </c>
      <c r="C253" s="29" t="s">
        <v>80</v>
      </c>
      <c r="D253" s="30" t="s">
        <v>81</v>
      </c>
      <c r="E253" s="30" t="s">
        <v>82</v>
      </c>
      <c r="F253" s="30" t="s">
        <v>83</v>
      </c>
      <c r="G253" s="31" t="s">
        <v>84</v>
      </c>
      <c r="H253" s="31"/>
      <c r="I253" s="31" t="s">
        <v>85</v>
      </c>
      <c r="J253" s="31" t="s">
        <v>106</v>
      </c>
      <c r="K253" s="31" t="s">
        <v>103</v>
      </c>
      <c r="L253" s="31">
        <v>8708923509</v>
      </c>
      <c r="M253" s="32" t="s">
        <v>104</v>
      </c>
      <c r="N253" s="33" t="s">
        <v>105</v>
      </c>
      <c r="O253" s="31">
        <v>2</v>
      </c>
      <c r="P253" s="34">
        <v>1114.58</v>
      </c>
      <c r="Q253" s="34">
        <v>178.68</v>
      </c>
      <c r="R253" s="34">
        <v>5.14</v>
      </c>
      <c r="S253" s="34">
        <v>1206.49</v>
      </c>
      <c r="T253" s="35">
        <v>6.354</v>
      </c>
      <c r="U253" s="35">
        <v>12.708</v>
      </c>
      <c r="V253" s="35">
        <v>6.42</v>
      </c>
      <c r="W253" s="35">
        <v>12.84</v>
      </c>
      <c r="X253" s="34">
        <v>2412.98</v>
      </c>
      <c r="Y253" s="31"/>
      <c r="Z253" s="31"/>
      <c r="AA253" s="31"/>
      <c r="AB253" s="31"/>
    </row>
    <row r="254" ht="14.5" customHeight="1" spans="1:28">
      <c r="A254" s="6" t="s">
        <v>109</v>
      </c>
      <c r="B254" s="6" t="str">
        <f t="shared" si="3"/>
        <v>43115-DT1EJ20250101-A-JIEU8015558-PARTS</v>
      </c>
      <c r="C254" s="29" t="s">
        <v>80</v>
      </c>
      <c r="D254" s="30" t="s">
        <v>81</v>
      </c>
      <c r="E254" s="30" t="s">
        <v>82</v>
      </c>
      <c r="F254" s="30" t="s">
        <v>83</v>
      </c>
      <c r="G254" s="31" t="s">
        <v>84</v>
      </c>
      <c r="H254" s="31"/>
      <c r="I254" s="31" t="s">
        <v>85</v>
      </c>
      <c r="J254" s="31" t="s">
        <v>110</v>
      </c>
      <c r="K254" s="31" t="s">
        <v>111</v>
      </c>
      <c r="L254" s="31">
        <v>7318169109</v>
      </c>
      <c r="M254" s="32" t="s">
        <v>112</v>
      </c>
      <c r="N254" s="33" t="s">
        <v>113</v>
      </c>
      <c r="O254" s="31">
        <v>360</v>
      </c>
      <c r="P254" s="34">
        <v>2.77</v>
      </c>
      <c r="Q254" s="34">
        <v>79.2</v>
      </c>
      <c r="R254" s="34">
        <v>3.6</v>
      </c>
      <c r="S254" s="34">
        <v>3</v>
      </c>
      <c r="T254" s="35">
        <v>0.014</v>
      </c>
      <c r="U254" s="35">
        <v>5.04</v>
      </c>
      <c r="V254" s="35">
        <v>0.015</v>
      </c>
      <c r="W254" s="35">
        <v>5.4</v>
      </c>
      <c r="X254" s="34">
        <v>1080</v>
      </c>
      <c r="Y254" s="31">
        <v>1140</v>
      </c>
      <c r="Z254" s="31">
        <v>1180</v>
      </c>
      <c r="AA254" s="31">
        <v>850</v>
      </c>
      <c r="AB254" s="31">
        <v>1.14</v>
      </c>
    </row>
    <row r="255" ht="14.5" customHeight="1" spans="1:28">
      <c r="B255" s="6" t="str">
        <f t="shared" si="3"/>
        <v>43115-DT1EJ20250101-A-JIEU8015558-PARTS</v>
      </c>
      <c r="C255" s="29" t="s">
        <v>80</v>
      </c>
      <c r="D255" s="30" t="s">
        <v>81</v>
      </c>
      <c r="E255" s="30" t="s">
        <v>82</v>
      </c>
      <c r="F255" s="30" t="s">
        <v>83</v>
      </c>
      <c r="G255" s="31" t="s">
        <v>84</v>
      </c>
      <c r="H255" s="31"/>
      <c r="I255" s="31" t="s">
        <v>85</v>
      </c>
      <c r="J255" s="31" t="s">
        <v>110</v>
      </c>
      <c r="K255" s="31" t="s">
        <v>114</v>
      </c>
      <c r="L255" s="31">
        <v>7326909807</v>
      </c>
      <c r="M255" s="32" t="s">
        <v>115</v>
      </c>
      <c r="N255" s="33" t="s">
        <v>116</v>
      </c>
      <c r="O255" s="31">
        <v>120</v>
      </c>
      <c r="P255" s="34">
        <v>1.7</v>
      </c>
      <c r="Q255" s="34">
        <v>16.8</v>
      </c>
      <c r="R255" s="34">
        <v>1.2</v>
      </c>
      <c r="S255" s="34">
        <v>1.85</v>
      </c>
      <c r="T255" s="35">
        <v>0.032</v>
      </c>
      <c r="U255" s="35">
        <v>3.84</v>
      </c>
      <c r="V255" s="35">
        <v>0.033</v>
      </c>
      <c r="W255" s="35">
        <v>3.96</v>
      </c>
      <c r="X255" s="34">
        <v>222</v>
      </c>
      <c r="Y255" s="31"/>
      <c r="Z255" s="31"/>
      <c r="AA255" s="31"/>
      <c r="AB255" s="31"/>
    </row>
    <row r="256" ht="14.5" customHeight="1" spans="1:28">
      <c r="B256" s="6" t="str">
        <f t="shared" si="3"/>
        <v>43115-DT1EJ20250101-A-JIEU8015558-PARTS</v>
      </c>
      <c r="C256" s="29" t="s">
        <v>80</v>
      </c>
      <c r="D256" s="30" t="s">
        <v>81</v>
      </c>
      <c r="E256" s="30" t="s">
        <v>82</v>
      </c>
      <c r="F256" s="30" t="s">
        <v>83</v>
      </c>
      <c r="G256" s="31" t="s">
        <v>84</v>
      </c>
      <c r="H256" s="31"/>
      <c r="I256" s="31" t="s">
        <v>85</v>
      </c>
      <c r="J256" s="31" t="s">
        <v>110</v>
      </c>
      <c r="K256" s="31" t="s">
        <v>117</v>
      </c>
      <c r="L256" s="31">
        <v>3926300000</v>
      </c>
      <c r="M256" s="32" t="s">
        <v>118</v>
      </c>
      <c r="N256" s="33" t="s">
        <v>119</v>
      </c>
      <c r="O256" s="31">
        <v>480</v>
      </c>
      <c r="P256" s="34">
        <v>0.2</v>
      </c>
      <c r="Q256" s="34">
        <v>9.6</v>
      </c>
      <c r="R256" s="34">
        <v>4.8</v>
      </c>
      <c r="S256" s="34">
        <v>0.23</v>
      </c>
      <c r="T256" s="35">
        <v>0.001</v>
      </c>
      <c r="U256" s="35">
        <v>0.48</v>
      </c>
      <c r="V256" s="35">
        <v>0.002</v>
      </c>
      <c r="W256" s="35">
        <v>0.96</v>
      </c>
      <c r="X256" s="34">
        <v>110.4</v>
      </c>
      <c r="Y256" s="31"/>
      <c r="Z256" s="31"/>
      <c r="AA256" s="31"/>
      <c r="AB256" s="31"/>
    </row>
    <row r="257" ht="14.5" customHeight="1" spans="2:24">
      <c r="B257" s="6" t="str">
        <f t="shared" si="3"/>
        <v>43115-DT1EJ20250101-A-JIEU8015558-PARTS</v>
      </c>
      <c r="C257" t="s">
        <v>80</v>
      </c>
      <c r="D257" t="s">
        <v>81</v>
      </c>
      <c r="E257" t="s">
        <v>82</v>
      </c>
      <c r="F257" t="s">
        <v>83</v>
      </c>
      <c r="G257" s="1" t="s">
        <v>84</v>
      </c>
      <c r="I257" s="1" t="s">
        <v>85</v>
      </c>
      <c r="J257" s="1" t="s">
        <v>110</v>
      </c>
      <c r="K257" s="1" t="s">
        <v>120</v>
      </c>
      <c r="L257">
        <v>3926300000</v>
      </c>
      <c r="M257" s="2" t="s">
        <v>121</v>
      </c>
      <c r="N257" s="3" t="s">
        <v>122</v>
      </c>
      <c r="O257" s="1">
        <v>120</v>
      </c>
      <c r="P257" s="4">
        <v>0.64</v>
      </c>
      <c r="Q257" s="4">
        <v>6</v>
      </c>
      <c r="R257" s="4">
        <v>1.2</v>
      </c>
      <c r="S257" s="4">
        <v>0.7</v>
      </c>
      <c r="T257" s="5">
        <v>0.003</v>
      </c>
      <c r="U257" s="5">
        <v>0.36</v>
      </c>
      <c r="V257" s="5">
        <v>0.004</v>
      </c>
      <c r="W257" s="5">
        <v>0.48</v>
      </c>
      <c r="X257" s="4">
        <v>84</v>
      </c>
    </row>
    <row r="258" ht="14.5" customHeight="1" spans="2:24">
      <c r="B258" s="6" t="str">
        <f t="shared" ref="B258:B321" si="4">CONCATENATE(C258,"-",E258,"-",G258)</f>
        <v>43115-DT1EJ20250101-A-JIEU8015558-PARTS</v>
      </c>
      <c r="C258" t="s">
        <v>80</v>
      </c>
      <c r="D258" t="s">
        <v>81</v>
      </c>
      <c r="E258" t="s">
        <v>82</v>
      </c>
      <c r="F258" t="s">
        <v>83</v>
      </c>
      <c r="G258" s="1" t="s">
        <v>84</v>
      </c>
      <c r="I258" s="1" t="s">
        <v>85</v>
      </c>
      <c r="J258" s="1" t="s">
        <v>110</v>
      </c>
      <c r="K258" s="1" t="s">
        <v>123</v>
      </c>
      <c r="L258">
        <v>7318154900</v>
      </c>
      <c r="M258" s="2" t="s">
        <v>124</v>
      </c>
      <c r="N258" s="3" t="s">
        <v>125</v>
      </c>
      <c r="O258" s="1">
        <v>240</v>
      </c>
      <c r="P258" s="4">
        <v>1.03</v>
      </c>
      <c r="Q258" s="4">
        <v>19.2</v>
      </c>
      <c r="R258" s="4">
        <v>2.4</v>
      </c>
      <c r="S258" s="4">
        <v>1.12</v>
      </c>
      <c r="T258" s="5">
        <v>0.035</v>
      </c>
      <c r="U258" s="5">
        <v>8.4</v>
      </c>
      <c r="V258" s="5">
        <v>0.04</v>
      </c>
      <c r="W258" s="5">
        <v>9.6</v>
      </c>
      <c r="X258" s="4">
        <v>268.8</v>
      </c>
    </row>
    <row r="259" ht="14.5" customHeight="1" spans="2:24">
      <c r="B259" s="6" t="str">
        <f t="shared" si="4"/>
        <v>43115-DT1EJ20250101-A-JIEU8015558-PARTS</v>
      </c>
      <c r="C259" t="s">
        <v>80</v>
      </c>
      <c r="D259" t="s">
        <v>81</v>
      </c>
      <c r="E259" t="s">
        <v>82</v>
      </c>
      <c r="F259" t="s">
        <v>83</v>
      </c>
      <c r="G259" s="1" t="s">
        <v>84</v>
      </c>
      <c r="I259" s="1" t="s">
        <v>85</v>
      </c>
      <c r="J259" s="1" t="s">
        <v>110</v>
      </c>
      <c r="K259" s="1" t="s">
        <v>126</v>
      </c>
      <c r="L259">
        <v>7318158900</v>
      </c>
      <c r="M259" s="2" t="s">
        <v>127</v>
      </c>
      <c r="N259" s="3" t="s">
        <v>128</v>
      </c>
      <c r="O259" s="1">
        <v>120</v>
      </c>
      <c r="P259" s="4">
        <v>2.58</v>
      </c>
      <c r="Q259" s="4">
        <v>25.2</v>
      </c>
      <c r="R259" s="4">
        <v>1.2</v>
      </c>
      <c r="S259" s="4">
        <v>2.8</v>
      </c>
      <c r="T259" s="5">
        <v>0.06</v>
      </c>
      <c r="U259" s="5">
        <v>7.2</v>
      </c>
      <c r="V259" s="5">
        <v>0.061</v>
      </c>
      <c r="W259" s="5">
        <v>7.32</v>
      </c>
      <c r="X259" s="4">
        <v>336</v>
      </c>
    </row>
    <row r="260" ht="14.5" customHeight="1" spans="2:24">
      <c r="B260" s="6" t="str">
        <f t="shared" si="4"/>
        <v>43115-DT1EJ20250101-A-JIEU8015558-PARTS</v>
      </c>
      <c r="C260" t="s">
        <v>80</v>
      </c>
      <c r="D260" t="s">
        <v>81</v>
      </c>
      <c r="E260" t="s">
        <v>82</v>
      </c>
      <c r="F260" t="s">
        <v>83</v>
      </c>
      <c r="G260" s="1" t="s">
        <v>84</v>
      </c>
      <c r="I260" s="1" t="s">
        <v>85</v>
      </c>
      <c r="J260" s="1" t="s">
        <v>110</v>
      </c>
      <c r="K260" s="1" t="s">
        <v>129</v>
      </c>
      <c r="L260">
        <v>7318158900</v>
      </c>
      <c r="M260" s="2" t="s">
        <v>130</v>
      </c>
      <c r="N260" s="3" t="s">
        <v>131</v>
      </c>
      <c r="O260" s="1">
        <v>480</v>
      </c>
      <c r="P260" s="4">
        <v>0.94</v>
      </c>
      <c r="Q260" s="4">
        <v>38.4</v>
      </c>
      <c r="R260" s="4">
        <v>4.8</v>
      </c>
      <c r="S260" s="4">
        <v>1.03</v>
      </c>
      <c r="T260" s="5">
        <v>0.034</v>
      </c>
      <c r="U260" s="5">
        <v>16.32</v>
      </c>
      <c r="V260" s="5">
        <v>0.04</v>
      </c>
      <c r="W260" s="5">
        <v>19.2</v>
      </c>
      <c r="X260" s="4">
        <v>494.4</v>
      </c>
    </row>
    <row r="261" ht="14.5" customHeight="1" spans="2:24">
      <c r="B261" s="6" t="str">
        <f t="shared" si="4"/>
        <v>43115-DT1EJ20250101-A-JIEU8015558-PARTS</v>
      </c>
      <c r="C261" t="s">
        <v>80</v>
      </c>
      <c r="D261" t="s">
        <v>81</v>
      </c>
      <c r="E261" t="s">
        <v>82</v>
      </c>
      <c r="F261" t="s">
        <v>83</v>
      </c>
      <c r="G261" s="1" t="s">
        <v>84</v>
      </c>
      <c r="I261" s="1" t="s">
        <v>85</v>
      </c>
      <c r="J261" s="1" t="s">
        <v>110</v>
      </c>
      <c r="K261" s="1" t="s">
        <v>132</v>
      </c>
      <c r="L261">
        <v>7318158900</v>
      </c>
      <c r="M261" s="2" t="s">
        <v>133</v>
      </c>
      <c r="N261" s="3" t="s">
        <v>134</v>
      </c>
      <c r="O261" s="1">
        <v>600</v>
      </c>
      <c r="P261" s="4">
        <v>0.19</v>
      </c>
      <c r="Q261" s="4">
        <v>12</v>
      </c>
      <c r="R261" s="4">
        <v>6</v>
      </c>
      <c r="S261" s="4">
        <v>0.22</v>
      </c>
      <c r="T261" s="5">
        <v>0.006</v>
      </c>
      <c r="U261" s="5">
        <v>3.6</v>
      </c>
      <c r="V261" s="5">
        <v>0.01</v>
      </c>
      <c r="W261" s="5">
        <v>6</v>
      </c>
      <c r="X261" s="4">
        <v>132</v>
      </c>
    </row>
    <row r="262" ht="14.5" customHeight="1" spans="2:24">
      <c r="B262" s="6" t="str">
        <f t="shared" si="4"/>
        <v>43115-DT1EJ20250101-A-JIEU8015558-PARTS</v>
      </c>
      <c r="C262" t="s">
        <v>80</v>
      </c>
      <c r="D262" t="s">
        <v>81</v>
      </c>
      <c r="E262" t="s">
        <v>82</v>
      </c>
      <c r="F262" t="s">
        <v>83</v>
      </c>
      <c r="G262" s="1" t="s">
        <v>84</v>
      </c>
      <c r="I262" s="1" t="s">
        <v>85</v>
      </c>
      <c r="J262" s="1" t="s">
        <v>110</v>
      </c>
      <c r="K262" s="1" t="s">
        <v>135</v>
      </c>
      <c r="L262">
        <v>7318158900</v>
      </c>
      <c r="M262" s="2" t="s">
        <v>136</v>
      </c>
      <c r="N262" s="3" t="s">
        <v>137</v>
      </c>
      <c r="O262" s="1">
        <v>120</v>
      </c>
      <c r="P262" s="4">
        <v>0.35</v>
      </c>
      <c r="Q262" s="4">
        <v>3.6</v>
      </c>
      <c r="R262" s="4">
        <v>1.2</v>
      </c>
      <c r="S262" s="4">
        <v>0.39</v>
      </c>
      <c r="T262" s="5">
        <v>0.013</v>
      </c>
      <c r="U262" s="5">
        <v>1.56</v>
      </c>
      <c r="V262" s="5">
        <v>0.014</v>
      </c>
      <c r="W262" s="5">
        <v>1.68</v>
      </c>
      <c r="X262" s="4">
        <v>46.8</v>
      </c>
    </row>
    <row r="263" ht="14.5" customHeight="1" spans="2:24">
      <c r="B263" s="6" t="str">
        <f t="shared" si="4"/>
        <v>43115-DT1EJ20250101-A-JIEU8015558-PARTS</v>
      </c>
      <c r="C263" t="s">
        <v>80</v>
      </c>
      <c r="D263" t="s">
        <v>81</v>
      </c>
      <c r="E263" t="s">
        <v>82</v>
      </c>
      <c r="F263" t="s">
        <v>83</v>
      </c>
      <c r="G263" s="1" t="s">
        <v>84</v>
      </c>
      <c r="I263" s="1" t="s">
        <v>85</v>
      </c>
      <c r="J263" s="1" t="s">
        <v>110</v>
      </c>
      <c r="K263" s="1" t="s">
        <v>138</v>
      </c>
      <c r="L263">
        <v>7318158900</v>
      </c>
      <c r="M263" s="2" t="s">
        <v>139</v>
      </c>
      <c r="N263" s="3" t="s">
        <v>140</v>
      </c>
      <c r="O263" s="1">
        <v>360</v>
      </c>
      <c r="P263" s="4">
        <v>0.83</v>
      </c>
      <c r="Q263" s="4">
        <v>25.2</v>
      </c>
      <c r="R263" s="4">
        <v>3.6</v>
      </c>
      <c r="S263" s="4">
        <v>0.91</v>
      </c>
      <c r="T263" s="5">
        <v>0.037</v>
      </c>
      <c r="U263" s="5">
        <v>13.32</v>
      </c>
      <c r="V263" s="5">
        <v>0.04</v>
      </c>
      <c r="W263" s="5">
        <v>14.4</v>
      </c>
      <c r="X263" s="4">
        <v>327.6</v>
      </c>
    </row>
    <row r="264" ht="14.5" customHeight="1" spans="2:24">
      <c r="B264" s="6" t="str">
        <f t="shared" si="4"/>
        <v>43115-DT1EJ20250101-A-JIEU8015558-PARTS</v>
      </c>
      <c r="C264" t="s">
        <v>80</v>
      </c>
      <c r="D264" t="s">
        <v>81</v>
      </c>
      <c r="E264" t="s">
        <v>82</v>
      </c>
      <c r="F264" t="s">
        <v>83</v>
      </c>
      <c r="G264" s="1" t="s">
        <v>84</v>
      </c>
      <c r="I264" s="1" t="s">
        <v>85</v>
      </c>
      <c r="J264" s="1" t="s">
        <v>110</v>
      </c>
      <c r="K264" s="1" t="s">
        <v>141</v>
      </c>
      <c r="L264">
        <v>7318158900</v>
      </c>
      <c r="M264" s="2" t="s">
        <v>139</v>
      </c>
      <c r="N264" s="3" t="s">
        <v>142</v>
      </c>
      <c r="O264" s="1">
        <v>240</v>
      </c>
      <c r="P264" s="4">
        <v>2.45</v>
      </c>
      <c r="Q264" s="4">
        <v>48</v>
      </c>
      <c r="R264" s="4">
        <v>2.4</v>
      </c>
      <c r="S264" s="4">
        <v>2.66</v>
      </c>
      <c r="T264" s="5">
        <v>0.12</v>
      </c>
      <c r="U264" s="5">
        <v>28.8</v>
      </c>
      <c r="V264" s="5">
        <v>0.121</v>
      </c>
      <c r="W264" s="5">
        <v>29.04</v>
      </c>
      <c r="X264" s="4">
        <v>638.4</v>
      </c>
    </row>
    <row r="265" ht="14.5" customHeight="1" spans="2:24">
      <c r="B265" s="6" t="str">
        <f t="shared" si="4"/>
        <v>43115-DT1EJ20250101-A-JIEU8015558-PARTS</v>
      </c>
      <c r="C265" t="s">
        <v>80</v>
      </c>
      <c r="D265" t="s">
        <v>81</v>
      </c>
      <c r="E265" t="s">
        <v>82</v>
      </c>
      <c r="F265" t="s">
        <v>83</v>
      </c>
      <c r="G265" s="1" t="s">
        <v>84</v>
      </c>
      <c r="I265" s="1" t="s">
        <v>85</v>
      </c>
      <c r="J265" s="1" t="s">
        <v>110</v>
      </c>
      <c r="K265" s="1" t="s">
        <v>143</v>
      </c>
      <c r="L265">
        <v>7318158900</v>
      </c>
      <c r="M265" s="2" t="s">
        <v>144</v>
      </c>
      <c r="N265" s="3" t="s">
        <v>145</v>
      </c>
      <c r="O265" s="1">
        <v>120</v>
      </c>
      <c r="P265" s="4">
        <v>1.54</v>
      </c>
      <c r="Q265" s="4">
        <v>14.4</v>
      </c>
      <c r="R265" s="4">
        <v>1.2</v>
      </c>
      <c r="S265" s="4">
        <v>1.67</v>
      </c>
      <c r="T265" s="5">
        <v>0.055</v>
      </c>
      <c r="U265" s="5">
        <v>6.6</v>
      </c>
      <c r="V265" s="5">
        <v>0.06</v>
      </c>
      <c r="W265" s="5">
        <v>7.2</v>
      </c>
      <c r="X265" s="4">
        <v>200.4</v>
      </c>
    </row>
    <row r="266" ht="14.5" customHeight="1" spans="2:24">
      <c r="B266" s="6" t="str">
        <f t="shared" si="4"/>
        <v>43115-DT1EJ20250101-A-JIEU8015558-PARTS</v>
      </c>
      <c r="C266" t="s">
        <v>80</v>
      </c>
      <c r="D266" t="s">
        <v>81</v>
      </c>
      <c r="E266" t="s">
        <v>82</v>
      </c>
      <c r="F266" t="s">
        <v>83</v>
      </c>
      <c r="G266" s="1" t="s">
        <v>84</v>
      </c>
      <c r="I266" s="1" t="s">
        <v>85</v>
      </c>
      <c r="J266" s="1" t="s">
        <v>110</v>
      </c>
      <c r="K266" s="1" t="s">
        <v>146</v>
      </c>
      <c r="L266">
        <v>7318158900</v>
      </c>
      <c r="M266" s="2" t="s">
        <v>139</v>
      </c>
      <c r="N266" s="3" t="s">
        <v>142</v>
      </c>
      <c r="O266" s="1">
        <v>120</v>
      </c>
      <c r="P266" s="4">
        <v>0.97</v>
      </c>
      <c r="Q266" s="4">
        <v>9.6</v>
      </c>
      <c r="R266" s="4">
        <v>1.2</v>
      </c>
      <c r="S266" s="4">
        <v>1.06</v>
      </c>
      <c r="T266" s="5">
        <v>0.045</v>
      </c>
      <c r="U266" s="5">
        <v>5.4</v>
      </c>
      <c r="V266" s="5">
        <v>0.05</v>
      </c>
      <c r="W266" s="5">
        <v>6</v>
      </c>
      <c r="X266" s="4">
        <v>127.2</v>
      </c>
    </row>
    <row r="267" ht="14.5" customHeight="1" spans="2:24">
      <c r="B267" s="6" t="str">
        <f t="shared" si="4"/>
        <v>43115-DT1EJ20250101-A-JIEU8015558-PARTS</v>
      </c>
      <c r="C267" t="s">
        <v>80</v>
      </c>
      <c r="D267" t="s">
        <v>81</v>
      </c>
      <c r="E267" t="s">
        <v>82</v>
      </c>
      <c r="F267" t="s">
        <v>83</v>
      </c>
      <c r="G267" s="1" t="s">
        <v>84</v>
      </c>
      <c r="I267" s="1" t="s">
        <v>85</v>
      </c>
      <c r="J267" s="1" t="s">
        <v>110</v>
      </c>
      <c r="K267" s="1" t="s">
        <v>147</v>
      </c>
      <c r="L267">
        <v>7318158900</v>
      </c>
      <c r="M267" s="2" t="s">
        <v>148</v>
      </c>
      <c r="N267" s="3" t="s">
        <v>149</v>
      </c>
      <c r="O267" s="1">
        <v>480</v>
      </c>
      <c r="P267" s="4">
        <v>4</v>
      </c>
      <c r="Q267" s="4">
        <v>153.6</v>
      </c>
      <c r="R267" s="4">
        <v>4.8</v>
      </c>
      <c r="S267" s="4">
        <v>4.33</v>
      </c>
      <c r="T267" s="5">
        <v>0.12</v>
      </c>
      <c r="U267" s="5">
        <v>57.6</v>
      </c>
      <c r="V267" s="5">
        <v>0.121</v>
      </c>
      <c r="W267" s="5">
        <v>58.08</v>
      </c>
      <c r="X267" s="4">
        <v>2078.4</v>
      </c>
    </row>
    <row r="268" ht="14.5" customHeight="1" spans="2:24">
      <c r="B268" s="6" t="str">
        <f t="shared" si="4"/>
        <v>43115-DT1EJ20250101-A-JIEU8015558-PARTS</v>
      </c>
      <c r="C268" t="s">
        <v>80</v>
      </c>
      <c r="D268" t="s">
        <v>81</v>
      </c>
      <c r="E268" t="s">
        <v>82</v>
      </c>
      <c r="F268" t="s">
        <v>83</v>
      </c>
      <c r="G268" s="1" t="s">
        <v>84</v>
      </c>
      <c r="I268" s="1" t="s">
        <v>85</v>
      </c>
      <c r="J268" s="1" t="s">
        <v>110</v>
      </c>
      <c r="K268" s="1" t="s">
        <v>150</v>
      </c>
      <c r="L268">
        <v>7318158900</v>
      </c>
      <c r="M268" s="2" t="s">
        <v>151</v>
      </c>
      <c r="N268" s="3" t="s">
        <v>152</v>
      </c>
      <c r="O268" s="1">
        <v>240</v>
      </c>
      <c r="P268" s="4">
        <v>4.7</v>
      </c>
      <c r="Q268" s="4">
        <v>91.2</v>
      </c>
      <c r="R268" s="4">
        <v>2.4</v>
      </c>
      <c r="S268" s="4">
        <v>5.09</v>
      </c>
      <c r="T268" s="5">
        <v>0.12</v>
      </c>
      <c r="U268" s="5">
        <v>28.8</v>
      </c>
      <c r="V268" s="5">
        <v>0.121</v>
      </c>
      <c r="W268" s="5">
        <v>29.04</v>
      </c>
      <c r="X268" s="4">
        <v>1221.6</v>
      </c>
    </row>
    <row r="269" ht="14.5" customHeight="1" spans="2:24">
      <c r="B269" s="6" t="str">
        <f t="shared" si="4"/>
        <v>43115-DT1EJ20250101-A-JIEU8015558-PARTS</v>
      </c>
      <c r="C269" t="s">
        <v>80</v>
      </c>
      <c r="D269" t="s">
        <v>81</v>
      </c>
      <c r="E269" t="s">
        <v>82</v>
      </c>
      <c r="F269" t="s">
        <v>83</v>
      </c>
      <c r="G269" s="1" t="s">
        <v>84</v>
      </c>
      <c r="I269" s="1" t="s">
        <v>85</v>
      </c>
      <c r="J269" s="1" t="s">
        <v>110</v>
      </c>
      <c r="K269" s="1" t="s">
        <v>153</v>
      </c>
      <c r="L269">
        <v>7318158900</v>
      </c>
      <c r="M269" s="2" t="s">
        <v>151</v>
      </c>
      <c r="N269" s="3" t="s">
        <v>152</v>
      </c>
      <c r="O269" s="1">
        <v>480</v>
      </c>
      <c r="P269" s="4">
        <v>5.41</v>
      </c>
      <c r="Q269" s="4">
        <v>206.4</v>
      </c>
      <c r="R269" s="4">
        <v>4.8</v>
      </c>
      <c r="S269" s="4">
        <v>5.85</v>
      </c>
      <c r="T269" s="5">
        <v>0.12</v>
      </c>
      <c r="U269" s="5">
        <v>57.6</v>
      </c>
      <c r="V269" s="5">
        <v>0.121</v>
      </c>
      <c r="W269" s="5">
        <v>58.08</v>
      </c>
      <c r="X269" s="4">
        <v>2808</v>
      </c>
    </row>
    <row r="270" ht="14.5" customHeight="1" spans="2:24">
      <c r="B270" s="6" t="str">
        <f t="shared" si="4"/>
        <v>43115-DT1EJ20250101-A-JIEU8015558-PARTS</v>
      </c>
      <c r="C270" t="s">
        <v>80</v>
      </c>
      <c r="D270" t="s">
        <v>81</v>
      </c>
      <c r="E270" t="s">
        <v>82</v>
      </c>
      <c r="F270" t="s">
        <v>83</v>
      </c>
      <c r="G270" s="1" t="s">
        <v>84</v>
      </c>
      <c r="I270" s="1" t="s">
        <v>85</v>
      </c>
      <c r="J270" s="1" t="s">
        <v>110</v>
      </c>
      <c r="K270" s="1" t="s">
        <v>154</v>
      </c>
      <c r="L270">
        <v>7318158900</v>
      </c>
      <c r="M270" s="2" t="s">
        <v>155</v>
      </c>
      <c r="N270" s="3" t="s">
        <v>156</v>
      </c>
      <c r="O270" s="1">
        <v>2400</v>
      </c>
      <c r="P270" s="4">
        <v>1.85</v>
      </c>
      <c r="Q270" s="4">
        <v>360</v>
      </c>
      <c r="R270" s="4">
        <v>24</v>
      </c>
      <c r="S270" s="4">
        <v>2.01</v>
      </c>
      <c r="T270" s="5">
        <v>0.073</v>
      </c>
      <c r="U270" s="5">
        <v>175.2</v>
      </c>
      <c r="V270" s="5">
        <v>0.08</v>
      </c>
      <c r="W270" s="5">
        <v>192</v>
      </c>
      <c r="X270" s="4">
        <v>4824</v>
      </c>
    </row>
    <row r="271" ht="14.5" customHeight="1" spans="2:24">
      <c r="B271" s="6" t="str">
        <f t="shared" si="4"/>
        <v>43115-DT1EJ20250101-A-JIEU8015558-PARTS</v>
      </c>
      <c r="C271" t="s">
        <v>80</v>
      </c>
      <c r="D271" t="s">
        <v>81</v>
      </c>
      <c r="E271" t="s">
        <v>82</v>
      </c>
      <c r="F271" t="s">
        <v>83</v>
      </c>
      <c r="G271" s="1" t="s">
        <v>84</v>
      </c>
      <c r="I271" s="1" t="s">
        <v>85</v>
      </c>
      <c r="J271" s="1" t="s">
        <v>110</v>
      </c>
      <c r="K271" s="1" t="s">
        <v>157</v>
      </c>
      <c r="L271">
        <v>7318165000</v>
      </c>
      <c r="M271" s="2" t="s">
        <v>158</v>
      </c>
      <c r="N271" s="3" t="s">
        <v>159</v>
      </c>
      <c r="O271" s="1">
        <v>240</v>
      </c>
      <c r="P271" s="4">
        <v>0.69</v>
      </c>
      <c r="Q271" s="4">
        <v>14.4</v>
      </c>
      <c r="R271" s="4">
        <v>2.4</v>
      </c>
      <c r="S271" s="4">
        <v>0.76</v>
      </c>
      <c r="T271" s="5">
        <v>0.014</v>
      </c>
      <c r="U271" s="5">
        <v>3.36</v>
      </c>
      <c r="V271" s="5">
        <v>0.015</v>
      </c>
      <c r="W271" s="5">
        <v>3.6</v>
      </c>
      <c r="X271" s="4">
        <v>182.4</v>
      </c>
    </row>
    <row r="272" ht="14.5" customHeight="1" spans="2:24">
      <c r="B272" s="6" t="str">
        <f t="shared" si="4"/>
        <v>43115-DT1EJ20250101-A-JIEU8015558-PARTS</v>
      </c>
      <c r="C272" t="s">
        <v>80</v>
      </c>
      <c r="D272" t="s">
        <v>81</v>
      </c>
      <c r="E272" t="s">
        <v>82</v>
      </c>
      <c r="F272" t="s">
        <v>83</v>
      </c>
      <c r="G272" s="1" t="s">
        <v>84</v>
      </c>
      <c r="I272" s="1" t="s">
        <v>85</v>
      </c>
      <c r="J272" s="1" t="s">
        <v>110</v>
      </c>
      <c r="K272" s="1" t="s">
        <v>160</v>
      </c>
      <c r="L272">
        <v>7318165000</v>
      </c>
      <c r="M272" s="2" t="s">
        <v>161</v>
      </c>
      <c r="N272" s="3" t="s">
        <v>162</v>
      </c>
      <c r="O272" s="1">
        <v>120</v>
      </c>
      <c r="P272" s="4">
        <v>0.77</v>
      </c>
      <c r="Q272" s="4">
        <v>7.2</v>
      </c>
      <c r="R272" s="4">
        <v>1.2</v>
      </c>
      <c r="S272" s="4">
        <v>0.84</v>
      </c>
      <c r="T272" s="5">
        <v>0.017</v>
      </c>
      <c r="U272" s="5">
        <v>2.04</v>
      </c>
      <c r="V272" s="5">
        <v>0.02</v>
      </c>
      <c r="W272" s="5">
        <v>2.4</v>
      </c>
      <c r="X272" s="4">
        <v>100.8</v>
      </c>
    </row>
    <row r="273" ht="14.5" customHeight="1" spans="1:28">
      <c r="B273" s="6" t="str">
        <f t="shared" si="4"/>
        <v>43115-DT1EJ20250101-A-JIEU8015558-PARTS</v>
      </c>
      <c r="C273" s="29" t="s">
        <v>80</v>
      </c>
      <c r="D273" s="30" t="s">
        <v>81</v>
      </c>
      <c r="E273" s="30" t="s">
        <v>82</v>
      </c>
      <c r="F273" s="30" t="s">
        <v>83</v>
      </c>
      <c r="G273" s="31" t="s">
        <v>84</v>
      </c>
      <c r="H273" s="31"/>
      <c r="I273" s="31" t="s">
        <v>85</v>
      </c>
      <c r="J273" s="31" t="s">
        <v>110</v>
      </c>
      <c r="K273" s="31" t="s">
        <v>163</v>
      </c>
      <c r="L273" s="31">
        <v>7318165000</v>
      </c>
      <c r="M273" s="32" t="s">
        <v>164</v>
      </c>
      <c r="N273" s="33" t="s">
        <v>165</v>
      </c>
      <c r="O273" s="31">
        <v>240</v>
      </c>
      <c r="P273" s="34">
        <v>0.88</v>
      </c>
      <c r="Q273" s="34">
        <v>16.8</v>
      </c>
      <c r="R273" s="34">
        <v>2.4</v>
      </c>
      <c r="S273" s="34">
        <v>0.96</v>
      </c>
      <c r="T273" s="35">
        <v>0.012</v>
      </c>
      <c r="U273" s="35">
        <v>2.88</v>
      </c>
      <c r="V273" s="35">
        <v>0.013</v>
      </c>
      <c r="W273" s="35">
        <v>3.12</v>
      </c>
      <c r="X273" s="34">
        <v>230.4</v>
      </c>
      <c r="Y273" s="31"/>
      <c r="Z273" s="31"/>
      <c r="AA273" s="31"/>
      <c r="AB273" s="31"/>
    </row>
    <row r="274" ht="14.5" customHeight="1" spans="1:28">
      <c r="B274" s="6" t="str">
        <f t="shared" si="4"/>
        <v>43115-DT1EJ20250101-A-JIEU8015558-PARTS</v>
      </c>
      <c r="C274" s="29" t="s">
        <v>80</v>
      </c>
      <c r="D274" s="30" t="s">
        <v>81</v>
      </c>
      <c r="E274" s="30" t="s">
        <v>82</v>
      </c>
      <c r="F274" s="30" t="s">
        <v>83</v>
      </c>
      <c r="G274" s="31" t="s">
        <v>84</v>
      </c>
      <c r="H274" s="31"/>
      <c r="I274" s="31" t="s">
        <v>85</v>
      </c>
      <c r="J274" s="31" t="s">
        <v>110</v>
      </c>
      <c r="K274" s="31" t="s">
        <v>166</v>
      </c>
      <c r="L274" s="31">
        <v>7318165000</v>
      </c>
      <c r="M274" s="32" t="s">
        <v>167</v>
      </c>
      <c r="N274" s="33" t="s">
        <v>168</v>
      </c>
      <c r="O274" s="31">
        <v>720</v>
      </c>
      <c r="P274" s="34">
        <v>0.44</v>
      </c>
      <c r="Q274" s="34">
        <v>28.8</v>
      </c>
      <c r="R274" s="34">
        <v>7.2</v>
      </c>
      <c r="S274" s="34">
        <v>0.49</v>
      </c>
      <c r="T274" s="35">
        <v>0.012</v>
      </c>
      <c r="U274" s="35">
        <v>8.64</v>
      </c>
      <c r="V274" s="35">
        <v>0.013</v>
      </c>
      <c r="W274" s="35">
        <v>9.36</v>
      </c>
      <c r="X274" s="34">
        <v>352.8</v>
      </c>
      <c r="Y274" s="31"/>
      <c r="Z274" s="31"/>
      <c r="AA274" s="31"/>
      <c r="AB274" s="31"/>
    </row>
    <row r="275" ht="14.5" customHeight="1" spans="1:28">
      <c r="B275" s="6" t="str">
        <f t="shared" si="4"/>
        <v>43115-DT1EJ20250101-A-JIEU8015558-PARTS</v>
      </c>
      <c r="C275" s="29" t="s">
        <v>80</v>
      </c>
      <c r="D275" s="30" t="s">
        <v>81</v>
      </c>
      <c r="E275" s="30" t="s">
        <v>82</v>
      </c>
      <c r="F275" s="30" t="s">
        <v>83</v>
      </c>
      <c r="G275" s="31" t="s">
        <v>84</v>
      </c>
      <c r="H275" s="31"/>
      <c r="I275" s="31" t="s">
        <v>85</v>
      </c>
      <c r="J275" s="31" t="s">
        <v>110</v>
      </c>
      <c r="K275" s="31" t="s">
        <v>169</v>
      </c>
      <c r="L275" s="31">
        <v>7318165000</v>
      </c>
      <c r="M275" s="32" t="s">
        <v>170</v>
      </c>
      <c r="N275" s="33" t="s">
        <v>171</v>
      </c>
      <c r="O275" s="31">
        <v>480</v>
      </c>
      <c r="P275" s="34">
        <v>0.5</v>
      </c>
      <c r="Q275" s="34">
        <v>19.2</v>
      </c>
      <c r="R275" s="34">
        <v>4.8</v>
      </c>
      <c r="S275" s="34">
        <v>0.55</v>
      </c>
      <c r="T275" s="35">
        <v>0.008</v>
      </c>
      <c r="U275" s="35">
        <v>3.84</v>
      </c>
      <c r="V275" s="35">
        <v>0.01</v>
      </c>
      <c r="W275" s="35">
        <v>4.8</v>
      </c>
      <c r="X275" s="34">
        <v>264</v>
      </c>
      <c r="Y275" s="31"/>
      <c r="Z275" s="31"/>
      <c r="AA275" s="31"/>
      <c r="AB275" s="31"/>
    </row>
    <row r="276" ht="14.5" customHeight="1" spans="1:28">
      <c r="B276" s="6" t="str">
        <f t="shared" si="4"/>
        <v>43115-DT1EJ20250101-A-JIEU8015558-PARTS</v>
      </c>
      <c r="C276" s="29" t="s">
        <v>80</v>
      </c>
      <c r="D276" s="30" t="s">
        <v>81</v>
      </c>
      <c r="E276" s="30" t="s">
        <v>82</v>
      </c>
      <c r="F276" s="30" t="s">
        <v>83</v>
      </c>
      <c r="G276" s="31" t="s">
        <v>84</v>
      </c>
      <c r="H276" s="31"/>
      <c r="I276" s="31" t="s">
        <v>85</v>
      </c>
      <c r="J276" s="31" t="s">
        <v>110</v>
      </c>
      <c r="K276" s="31" t="s">
        <v>172</v>
      </c>
      <c r="L276" s="31">
        <v>7318165000</v>
      </c>
      <c r="M276" s="32" t="s">
        <v>173</v>
      </c>
      <c r="N276" s="33" t="s">
        <v>174</v>
      </c>
      <c r="O276" s="31">
        <v>240</v>
      </c>
      <c r="P276" s="34">
        <v>2.79</v>
      </c>
      <c r="Q276" s="34">
        <v>52.8</v>
      </c>
      <c r="R276" s="34">
        <v>2.4</v>
      </c>
      <c r="S276" s="34">
        <v>3.02</v>
      </c>
      <c r="T276" s="35">
        <v>0.123</v>
      </c>
      <c r="U276" s="35">
        <v>29.52</v>
      </c>
      <c r="V276" s="35">
        <v>0.13</v>
      </c>
      <c r="W276" s="35">
        <v>31.2</v>
      </c>
      <c r="X276" s="34">
        <v>724.8</v>
      </c>
      <c r="Y276" s="31"/>
      <c r="Z276" s="31"/>
      <c r="AA276" s="31"/>
      <c r="AB276" s="31"/>
    </row>
    <row r="277" ht="14.5" customHeight="1" spans="1:28">
      <c r="B277" s="6" t="str">
        <f t="shared" si="4"/>
        <v>43115-DT1EJ20250101-A-JIEU8015558-PARTS</v>
      </c>
      <c r="C277" s="29" t="s">
        <v>80</v>
      </c>
      <c r="D277" s="30" t="s">
        <v>81</v>
      </c>
      <c r="E277" s="30" t="s">
        <v>82</v>
      </c>
      <c r="F277" s="30" t="s">
        <v>83</v>
      </c>
      <c r="G277" s="31" t="s">
        <v>84</v>
      </c>
      <c r="H277" s="31"/>
      <c r="I277" s="31" t="s">
        <v>85</v>
      </c>
      <c r="J277" s="31" t="s">
        <v>110</v>
      </c>
      <c r="K277" s="31" t="s">
        <v>175</v>
      </c>
      <c r="L277" s="31">
        <v>7318220008</v>
      </c>
      <c r="M277" s="32" t="s">
        <v>176</v>
      </c>
      <c r="N277" s="33" t="s">
        <v>177</v>
      </c>
      <c r="O277" s="31">
        <v>240</v>
      </c>
      <c r="P277" s="34">
        <v>0.63</v>
      </c>
      <c r="Q277" s="34">
        <v>12</v>
      </c>
      <c r="R277" s="34">
        <v>2.4</v>
      </c>
      <c r="S277" s="34">
        <v>0.69</v>
      </c>
      <c r="T277" s="35">
        <v>0.028</v>
      </c>
      <c r="U277" s="35">
        <v>6.72</v>
      </c>
      <c r="V277" s="35">
        <v>0.03</v>
      </c>
      <c r="W277" s="35">
        <v>7.2</v>
      </c>
      <c r="X277" s="34">
        <v>165.6</v>
      </c>
      <c r="Y277" s="31"/>
      <c r="Z277" s="31"/>
      <c r="AA277" s="31"/>
      <c r="AB277" s="31"/>
    </row>
    <row r="278" ht="14.5" customHeight="1" spans="1:28">
      <c r="B278" s="6" t="str">
        <f t="shared" si="4"/>
        <v>43115-DT1EJ20250101-A-JIEU8015558-PARTS</v>
      </c>
      <c r="C278" s="29" t="s">
        <v>80</v>
      </c>
      <c r="D278" s="30" t="s">
        <v>81</v>
      </c>
      <c r="E278" s="30" t="s">
        <v>82</v>
      </c>
      <c r="F278" s="30" t="s">
        <v>83</v>
      </c>
      <c r="G278" s="31" t="s">
        <v>84</v>
      </c>
      <c r="H278" s="31"/>
      <c r="I278" s="31" t="s">
        <v>85</v>
      </c>
      <c r="J278" s="31" t="s">
        <v>110</v>
      </c>
      <c r="K278" s="31" t="s">
        <v>178</v>
      </c>
      <c r="L278" s="31">
        <v>8302300009</v>
      </c>
      <c r="M278" s="32" t="s">
        <v>179</v>
      </c>
      <c r="N278" s="33" t="s">
        <v>180</v>
      </c>
      <c r="O278" s="31">
        <v>480</v>
      </c>
      <c r="P278" s="34">
        <v>0.37</v>
      </c>
      <c r="Q278" s="34">
        <v>14.4</v>
      </c>
      <c r="R278" s="34">
        <v>4.8</v>
      </c>
      <c r="S278" s="34">
        <v>0.41</v>
      </c>
      <c r="T278" s="35">
        <v>0.003</v>
      </c>
      <c r="U278" s="35">
        <v>1.44</v>
      </c>
      <c r="V278" s="35">
        <v>0.004</v>
      </c>
      <c r="W278" s="35">
        <v>1.92</v>
      </c>
      <c r="X278" s="34">
        <v>196.8</v>
      </c>
      <c r="Y278" s="31"/>
      <c r="Z278" s="31"/>
      <c r="AA278" s="31"/>
      <c r="AB278" s="31"/>
    </row>
    <row r="279" ht="14.5" customHeight="1" spans="1:28">
      <c r="A279" s="6" t="s">
        <v>181</v>
      </c>
      <c r="B279" s="6" t="str">
        <f t="shared" si="4"/>
        <v>43115-DT1EJ20250101-A-JIEU8015558-PARTS</v>
      </c>
      <c r="C279" s="29" t="s">
        <v>80</v>
      </c>
      <c r="D279" s="30" t="s">
        <v>81</v>
      </c>
      <c r="E279" s="30" t="s">
        <v>82</v>
      </c>
      <c r="F279" s="30" t="s">
        <v>83</v>
      </c>
      <c r="G279" s="31" t="s">
        <v>84</v>
      </c>
      <c r="H279" s="31"/>
      <c r="I279" s="31" t="s">
        <v>85</v>
      </c>
      <c r="J279" s="31" t="s">
        <v>110</v>
      </c>
      <c r="K279" s="31" t="s">
        <v>182</v>
      </c>
      <c r="L279" s="31">
        <v>7326909807</v>
      </c>
      <c r="M279" s="32" t="s">
        <v>183</v>
      </c>
      <c r="N279" s="33" t="s">
        <v>184</v>
      </c>
      <c r="O279" s="31">
        <v>240</v>
      </c>
      <c r="P279" s="34">
        <v>0.35</v>
      </c>
      <c r="Q279" s="34">
        <v>7.2</v>
      </c>
      <c r="R279" s="34">
        <v>2.4</v>
      </c>
      <c r="S279" s="34">
        <v>0.39</v>
      </c>
      <c r="T279" s="35">
        <v>0.007</v>
      </c>
      <c r="U279" s="35">
        <v>1.68</v>
      </c>
      <c r="V279" s="35">
        <v>0.01</v>
      </c>
      <c r="W279" s="35">
        <v>2.4</v>
      </c>
      <c r="X279" s="34">
        <v>93.6</v>
      </c>
      <c r="Y279" s="31"/>
      <c r="Z279" s="31"/>
      <c r="AA279" s="31"/>
      <c r="AB279" s="31"/>
    </row>
    <row r="280" ht="14.5" customHeight="1" spans="1:28">
      <c r="B280" s="6" t="str">
        <f t="shared" si="4"/>
        <v>43115-DT1EJ20250101-A-JIEU8015558-PARTS</v>
      </c>
      <c r="C280" s="29" t="s">
        <v>80</v>
      </c>
      <c r="D280" s="30" t="s">
        <v>81</v>
      </c>
      <c r="E280" s="30" t="s">
        <v>82</v>
      </c>
      <c r="F280" s="30" t="s">
        <v>83</v>
      </c>
      <c r="G280" s="31" t="s">
        <v>84</v>
      </c>
      <c r="H280" s="31"/>
      <c r="I280" s="31" t="s">
        <v>85</v>
      </c>
      <c r="J280" s="31" t="s">
        <v>110</v>
      </c>
      <c r="K280" s="31" t="s">
        <v>185</v>
      </c>
      <c r="L280" s="31">
        <v>7326909807</v>
      </c>
      <c r="M280" s="32" t="s">
        <v>186</v>
      </c>
      <c r="N280" s="33" t="s">
        <v>184</v>
      </c>
      <c r="O280" s="31">
        <v>480</v>
      </c>
      <c r="P280" s="34">
        <v>0.57</v>
      </c>
      <c r="Q280" s="34">
        <v>24</v>
      </c>
      <c r="R280" s="34">
        <v>4.8</v>
      </c>
      <c r="S280" s="34">
        <v>0.63</v>
      </c>
      <c r="T280" s="35">
        <v>0.012</v>
      </c>
      <c r="U280" s="35">
        <v>5.76</v>
      </c>
      <c r="V280" s="35">
        <v>0.013</v>
      </c>
      <c r="W280" s="35">
        <v>6.24</v>
      </c>
      <c r="X280" s="34">
        <v>302.4</v>
      </c>
      <c r="Y280" s="31"/>
      <c r="Z280" s="31"/>
      <c r="AA280" s="31"/>
      <c r="AB280" s="31"/>
    </row>
    <row r="281" ht="14.5" customHeight="1" spans="1:28">
      <c r="B281" s="6" t="str">
        <f t="shared" si="4"/>
        <v>43115-DT1EJ20250101-A-JIEU8015558-PARTS</v>
      </c>
      <c r="C281" s="29" t="s">
        <v>80</v>
      </c>
      <c r="D281" s="30" t="s">
        <v>81</v>
      </c>
      <c r="E281" s="30" t="s">
        <v>82</v>
      </c>
      <c r="F281" s="30" t="s">
        <v>83</v>
      </c>
      <c r="G281" s="31" t="s">
        <v>84</v>
      </c>
      <c r="H281" s="31"/>
      <c r="I281" s="31" t="s">
        <v>85</v>
      </c>
      <c r="J281" s="31" t="s">
        <v>110</v>
      </c>
      <c r="K281" s="31" t="s">
        <v>187</v>
      </c>
      <c r="L281" s="31">
        <v>7326909807</v>
      </c>
      <c r="M281" s="32" t="s">
        <v>188</v>
      </c>
      <c r="N281" s="33" t="s">
        <v>184</v>
      </c>
      <c r="O281" s="31">
        <v>120</v>
      </c>
      <c r="P281" s="34">
        <v>0.5</v>
      </c>
      <c r="Q281" s="34">
        <v>4.8</v>
      </c>
      <c r="R281" s="34">
        <v>1.2</v>
      </c>
      <c r="S281" s="34">
        <v>0.55</v>
      </c>
      <c r="T281" s="35">
        <v>0.001</v>
      </c>
      <c r="U281" s="35">
        <v>0.12</v>
      </c>
      <c r="V281" s="35">
        <v>0.002</v>
      </c>
      <c r="W281" s="35">
        <v>0.24</v>
      </c>
      <c r="X281" s="34">
        <v>66</v>
      </c>
      <c r="Y281" s="31"/>
      <c r="Z281" s="31"/>
      <c r="AA281" s="31"/>
      <c r="AB281" s="31"/>
    </row>
    <row r="282" ht="14.5" customHeight="1" spans="1:28">
      <c r="B282" s="6" t="str">
        <f t="shared" si="4"/>
        <v>43115-DT1EJ20250101-A-JIEU8015558-PARTS</v>
      </c>
      <c r="C282" s="29" t="s">
        <v>80</v>
      </c>
      <c r="D282" s="30" t="s">
        <v>81</v>
      </c>
      <c r="E282" s="30" t="s">
        <v>82</v>
      </c>
      <c r="F282" s="30" t="s">
        <v>83</v>
      </c>
      <c r="G282" s="31" t="s">
        <v>84</v>
      </c>
      <c r="H282" s="31"/>
      <c r="I282" s="31" t="s">
        <v>85</v>
      </c>
      <c r="J282" s="31" t="s">
        <v>110</v>
      </c>
      <c r="K282" s="31" t="s">
        <v>189</v>
      </c>
      <c r="L282" s="31">
        <v>7326909807</v>
      </c>
      <c r="M282" s="32" t="s">
        <v>183</v>
      </c>
      <c r="N282" s="33" t="s">
        <v>184</v>
      </c>
      <c r="O282" s="31">
        <v>240</v>
      </c>
      <c r="P282" s="34">
        <v>0.65</v>
      </c>
      <c r="Q282" s="34">
        <v>12</v>
      </c>
      <c r="R282" s="34">
        <v>2.4</v>
      </c>
      <c r="S282" s="34">
        <v>0.71</v>
      </c>
      <c r="T282" s="35">
        <v>0.005</v>
      </c>
      <c r="U282" s="35">
        <v>1.2</v>
      </c>
      <c r="V282" s="35">
        <v>0.01</v>
      </c>
      <c r="W282" s="35">
        <v>2.4</v>
      </c>
      <c r="X282" s="34">
        <v>170.4</v>
      </c>
      <c r="Y282" s="31"/>
      <c r="Z282" s="31"/>
      <c r="AA282" s="31"/>
      <c r="AB282" s="31"/>
    </row>
    <row r="283" ht="14.5" customHeight="1" spans="1:28">
      <c r="B283" s="6" t="str">
        <f t="shared" si="4"/>
        <v>43115-DT1EJ20250101-A-JIEU8015558-PARTS</v>
      </c>
      <c r="C283" s="29" t="s">
        <v>80</v>
      </c>
      <c r="D283" s="30" t="s">
        <v>81</v>
      </c>
      <c r="E283" s="30" t="s">
        <v>82</v>
      </c>
      <c r="F283" s="30" t="s">
        <v>83</v>
      </c>
      <c r="G283" s="31" t="s">
        <v>84</v>
      </c>
      <c r="H283" s="31"/>
      <c r="I283" s="31" t="s">
        <v>85</v>
      </c>
      <c r="J283" s="31" t="s">
        <v>110</v>
      </c>
      <c r="K283" s="31" t="s">
        <v>190</v>
      </c>
      <c r="L283" s="31">
        <v>7326909807</v>
      </c>
      <c r="M283" s="32" t="s">
        <v>183</v>
      </c>
      <c r="N283" s="33" t="s">
        <v>184</v>
      </c>
      <c r="O283" s="31">
        <v>240</v>
      </c>
      <c r="P283" s="34">
        <v>0.69</v>
      </c>
      <c r="Q283" s="34">
        <v>14.4</v>
      </c>
      <c r="R283" s="34">
        <v>2.4</v>
      </c>
      <c r="S283" s="34">
        <v>0.76</v>
      </c>
      <c r="T283" s="35">
        <v>0.007</v>
      </c>
      <c r="U283" s="35">
        <v>1.68</v>
      </c>
      <c r="V283" s="35">
        <v>0.01</v>
      </c>
      <c r="W283" s="35">
        <v>2.4</v>
      </c>
      <c r="X283" s="34">
        <v>182.4</v>
      </c>
      <c r="Y283" s="31"/>
      <c r="Z283" s="31"/>
      <c r="AA283" s="31"/>
      <c r="AB283" s="31"/>
    </row>
    <row r="284" ht="14.5" customHeight="1" spans="1:28">
      <c r="B284" s="6" t="str">
        <f t="shared" si="4"/>
        <v>43115-DT1EJ20250101-A-JIEU8015558-PARTS</v>
      </c>
      <c r="C284" s="29" t="s">
        <v>80</v>
      </c>
      <c r="D284" s="30" t="s">
        <v>81</v>
      </c>
      <c r="E284" s="30" t="s">
        <v>82</v>
      </c>
      <c r="F284" s="30" t="s">
        <v>83</v>
      </c>
      <c r="G284" s="31" t="s">
        <v>84</v>
      </c>
      <c r="H284" s="31"/>
      <c r="I284" s="31" t="s">
        <v>85</v>
      </c>
      <c r="J284" s="31" t="s">
        <v>110</v>
      </c>
      <c r="K284" s="31" t="s">
        <v>191</v>
      </c>
      <c r="L284" s="31">
        <v>7326909807</v>
      </c>
      <c r="M284" s="32" t="s">
        <v>192</v>
      </c>
      <c r="N284" s="33" t="s">
        <v>184</v>
      </c>
      <c r="O284" s="31">
        <v>240</v>
      </c>
      <c r="P284" s="34">
        <v>0.8</v>
      </c>
      <c r="Q284" s="34">
        <v>14.4</v>
      </c>
      <c r="R284" s="34">
        <v>2.4</v>
      </c>
      <c r="S284" s="34">
        <v>0.87</v>
      </c>
      <c r="T284" s="35">
        <v>0.012</v>
      </c>
      <c r="U284" s="35">
        <v>2.88</v>
      </c>
      <c r="V284" s="35">
        <v>0.013</v>
      </c>
      <c r="W284" s="35">
        <v>3.12</v>
      </c>
      <c r="X284" s="34">
        <v>208.8</v>
      </c>
      <c r="Y284" s="31"/>
      <c r="Z284" s="31"/>
      <c r="AA284" s="31"/>
      <c r="AB284" s="31"/>
    </row>
    <row r="285" ht="14.5" customHeight="1" spans="1:28">
      <c r="B285" s="6" t="str">
        <f t="shared" si="4"/>
        <v>43115-DT1EJ20250101-A-JIEU8015558-PARTS</v>
      </c>
      <c r="C285" s="29" t="s">
        <v>80</v>
      </c>
      <c r="D285" s="30" t="s">
        <v>81</v>
      </c>
      <c r="E285" s="30" t="s">
        <v>82</v>
      </c>
      <c r="F285" s="30" t="s">
        <v>83</v>
      </c>
      <c r="G285" s="31" t="s">
        <v>84</v>
      </c>
      <c r="H285" s="31"/>
      <c r="I285" s="31" t="s">
        <v>85</v>
      </c>
      <c r="J285" s="31" t="s">
        <v>193</v>
      </c>
      <c r="K285" s="31" t="s">
        <v>194</v>
      </c>
      <c r="L285" s="31">
        <v>7326909807</v>
      </c>
      <c r="M285" s="32" t="s">
        <v>183</v>
      </c>
      <c r="N285" s="33" t="s">
        <v>184</v>
      </c>
      <c r="O285" s="31">
        <v>480</v>
      </c>
      <c r="P285" s="34">
        <v>0.9</v>
      </c>
      <c r="Q285" s="34">
        <v>33.6</v>
      </c>
      <c r="R285" s="34">
        <v>4.8</v>
      </c>
      <c r="S285" s="34">
        <v>0.98</v>
      </c>
      <c r="T285" s="35">
        <v>0.002</v>
      </c>
      <c r="U285" s="35">
        <v>0.96</v>
      </c>
      <c r="V285" s="35">
        <v>0.003</v>
      </c>
      <c r="W285" s="35">
        <v>1.44</v>
      </c>
      <c r="X285" s="34">
        <v>470.4</v>
      </c>
      <c r="Y285" s="31">
        <v>1140</v>
      </c>
      <c r="Z285" s="31">
        <v>1180</v>
      </c>
      <c r="AA285" s="31">
        <v>850</v>
      </c>
      <c r="AB285" s="31">
        <v>1.14</v>
      </c>
    </row>
    <row r="286" ht="14.5" customHeight="1" spans="1:28">
      <c r="B286" s="6" t="str">
        <f t="shared" si="4"/>
        <v>43115-DT1EJ20250101-A-JIEU8015558-PARTS</v>
      </c>
      <c r="C286" s="29" t="s">
        <v>80</v>
      </c>
      <c r="D286" s="30" t="s">
        <v>81</v>
      </c>
      <c r="E286" s="30" t="s">
        <v>82</v>
      </c>
      <c r="F286" s="30" t="s">
        <v>83</v>
      </c>
      <c r="G286" s="31" t="s">
        <v>84</v>
      </c>
      <c r="H286" s="31"/>
      <c r="I286" s="31" t="s">
        <v>85</v>
      </c>
      <c r="J286" s="31" t="s">
        <v>193</v>
      </c>
      <c r="K286" s="31" t="s">
        <v>195</v>
      </c>
      <c r="L286" s="31">
        <v>7326909807</v>
      </c>
      <c r="M286" s="32" t="s">
        <v>196</v>
      </c>
      <c r="N286" s="33" t="s">
        <v>184</v>
      </c>
      <c r="O286" s="31">
        <v>120</v>
      </c>
      <c r="P286" s="34">
        <v>0.84</v>
      </c>
      <c r="Q286" s="34">
        <v>8.4</v>
      </c>
      <c r="R286" s="34">
        <v>1.2</v>
      </c>
      <c r="S286" s="34">
        <v>0.92</v>
      </c>
      <c r="T286" s="35">
        <v>0.004</v>
      </c>
      <c r="U286" s="35">
        <v>0.48</v>
      </c>
      <c r="V286" s="35">
        <v>0.005</v>
      </c>
      <c r="W286" s="35">
        <v>0.6</v>
      </c>
      <c r="X286" s="34">
        <v>110.4</v>
      </c>
      <c r="Y286" s="31"/>
      <c r="Z286" s="31"/>
      <c r="AA286" s="31"/>
      <c r="AB286" s="31"/>
    </row>
    <row r="287" ht="14.5" customHeight="1" spans="1:28">
      <c r="B287" s="6" t="str">
        <f t="shared" si="4"/>
        <v>43115-DT1EJ20250101-A-JIEU8015558-PARTS</v>
      </c>
      <c r="C287" s="29" t="s">
        <v>80</v>
      </c>
      <c r="D287" s="30" t="s">
        <v>81</v>
      </c>
      <c r="E287" s="30" t="s">
        <v>82</v>
      </c>
      <c r="F287" s="30" t="s">
        <v>83</v>
      </c>
      <c r="G287" s="31" t="s">
        <v>84</v>
      </c>
      <c r="H287" s="31"/>
      <c r="I287" s="38" t="s">
        <v>85</v>
      </c>
      <c r="J287" s="31" t="s">
        <v>193</v>
      </c>
      <c r="K287" s="31" t="s">
        <v>197</v>
      </c>
      <c r="L287" s="31">
        <v>7326909807</v>
      </c>
      <c r="M287" s="32" t="s">
        <v>198</v>
      </c>
      <c r="N287" s="33" t="s">
        <v>184</v>
      </c>
      <c r="O287" s="31">
        <v>240</v>
      </c>
      <c r="P287" s="34">
        <v>3.29</v>
      </c>
      <c r="Q287" s="34">
        <v>62.4</v>
      </c>
      <c r="R287" s="34">
        <v>2.4</v>
      </c>
      <c r="S287" s="34">
        <v>3.56</v>
      </c>
      <c r="T287" s="35">
        <v>0.028</v>
      </c>
      <c r="U287" s="35">
        <v>6.72</v>
      </c>
      <c r="V287" s="35">
        <v>0.03</v>
      </c>
      <c r="W287" s="35">
        <v>7.2</v>
      </c>
      <c r="X287" s="34">
        <v>854.4</v>
      </c>
      <c r="Y287" s="31"/>
      <c r="Z287" s="31"/>
      <c r="AA287" s="31"/>
      <c r="AB287" s="31"/>
    </row>
    <row r="288" ht="14.5" customHeight="1" spans="1:28">
      <c r="B288" s="6" t="str">
        <f t="shared" si="4"/>
        <v>43115-DT1EJ20250101-A-JIEU8015558-PARTS</v>
      </c>
      <c r="C288" s="29" t="s">
        <v>80</v>
      </c>
      <c r="D288" s="30" t="s">
        <v>81</v>
      </c>
      <c r="E288" s="30" t="s">
        <v>82</v>
      </c>
      <c r="F288" s="30" t="s">
        <v>83</v>
      </c>
      <c r="G288" s="31" t="s">
        <v>84</v>
      </c>
      <c r="H288" s="31"/>
      <c r="I288" s="31" t="s">
        <v>85</v>
      </c>
      <c r="J288" s="31" t="s">
        <v>193</v>
      </c>
      <c r="K288" s="31" t="s">
        <v>199</v>
      </c>
      <c r="L288" s="31">
        <v>7318158900</v>
      </c>
      <c r="M288" s="32" t="s">
        <v>200</v>
      </c>
      <c r="N288" s="33" t="s">
        <v>201</v>
      </c>
      <c r="O288" s="31">
        <v>480</v>
      </c>
      <c r="P288" s="34">
        <v>0.26</v>
      </c>
      <c r="Q288" s="34">
        <v>9.6</v>
      </c>
      <c r="R288" s="34">
        <v>4.8</v>
      </c>
      <c r="S288" s="34">
        <v>0.29</v>
      </c>
      <c r="T288" s="35">
        <v>0.009</v>
      </c>
      <c r="U288" s="35">
        <v>4.32</v>
      </c>
      <c r="V288" s="35">
        <v>0.01</v>
      </c>
      <c r="W288" s="35">
        <v>4.8</v>
      </c>
      <c r="X288" s="34">
        <v>139.2</v>
      </c>
      <c r="Y288" s="31"/>
      <c r="Z288" s="31"/>
      <c r="AA288" s="31"/>
      <c r="AB288" s="31"/>
    </row>
    <row r="289" ht="14.5" customHeight="1" spans="1:28">
      <c r="B289" s="6" t="str">
        <f t="shared" si="4"/>
        <v>43115-DT1EJ20250101-A-JIEU8015558-PARTS</v>
      </c>
      <c r="C289" s="29" t="s">
        <v>80</v>
      </c>
      <c r="D289" s="30" t="s">
        <v>81</v>
      </c>
      <c r="E289" s="30" t="s">
        <v>82</v>
      </c>
      <c r="F289" s="30" t="s">
        <v>83</v>
      </c>
      <c r="G289" s="31" t="s">
        <v>84</v>
      </c>
      <c r="H289" s="31"/>
      <c r="I289" s="31" t="s">
        <v>85</v>
      </c>
      <c r="J289" s="31" t="s">
        <v>193</v>
      </c>
      <c r="K289" s="31" t="s">
        <v>202</v>
      </c>
      <c r="L289" s="31">
        <v>7318158900</v>
      </c>
      <c r="M289" s="32" t="s">
        <v>203</v>
      </c>
      <c r="N289" s="33" t="s">
        <v>204</v>
      </c>
      <c r="O289" s="31">
        <v>120</v>
      </c>
      <c r="P289" s="34">
        <v>0.31</v>
      </c>
      <c r="Q289" s="34">
        <v>2.4</v>
      </c>
      <c r="R289" s="34">
        <v>1.2</v>
      </c>
      <c r="S289" s="34">
        <v>0.34</v>
      </c>
      <c r="T289" s="35">
        <v>0.016</v>
      </c>
      <c r="U289" s="35">
        <v>1.92</v>
      </c>
      <c r="V289" s="35">
        <v>0.02</v>
      </c>
      <c r="W289" s="35">
        <v>2.4</v>
      </c>
      <c r="X289" s="34">
        <v>40.8</v>
      </c>
      <c r="Y289" s="31"/>
      <c r="Z289" s="31"/>
      <c r="AA289" s="31"/>
      <c r="AB289" s="31"/>
    </row>
    <row r="290" ht="14.5" customHeight="1" spans="1:28">
      <c r="B290" s="6" t="str">
        <f t="shared" si="4"/>
        <v>43115-DT1EJ20250101-A-JIEU8015558-PARTS</v>
      </c>
      <c r="C290" s="29" t="s">
        <v>80</v>
      </c>
      <c r="D290" s="30" t="s">
        <v>81</v>
      </c>
      <c r="E290" s="30" t="s">
        <v>82</v>
      </c>
      <c r="F290" s="30" t="s">
        <v>83</v>
      </c>
      <c r="G290" s="31" t="s">
        <v>84</v>
      </c>
      <c r="H290" s="31"/>
      <c r="I290" s="31" t="s">
        <v>85</v>
      </c>
      <c r="J290" s="31" t="s">
        <v>193</v>
      </c>
      <c r="K290" s="31" t="s">
        <v>205</v>
      </c>
      <c r="L290" s="31">
        <v>7318158900</v>
      </c>
      <c r="M290" s="32" t="s">
        <v>206</v>
      </c>
      <c r="N290" s="33" t="s">
        <v>207</v>
      </c>
      <c r="O290" s="31">
        <v>120</v>
      </c>
      <c r="P290" s="34">
        <v>0.11</v>
      </c>
      <c r="Q290" s="34">
        <v>1.2</v>
      </c>
      <c r="R290" s="34">
        <v>1.2</v>
      </c>
      <c r="S290" s="34">
        <v>0.13</v>
      </c>
      <c r="T290" s="35">
        <v>0.005</v>
      </c>
      <c r="U290" s="35">
        <v>0.6</v>
      </c>
      <c r="V290" s="35">
        <v>0.01</v>
      </c>
      <c r="W290" s="35">
        <v>1.2</v>
      </c>
      <c r="X290" s="34">
        <v>15.6</v>
      </c>
      <c r="Y290" s="31"/>
      <c r="Z290" s="31"/>
      <c r="AA290" s="31"/>
      <c r="AB290" s="31"/>
    </row>
    <row r="291" ht="14.5" customHeight="1" spans="1:28">
      <c r="B291" s="6" t="str">
        <f t="shared" si="4"/>
        <v>43115-DT1EJ20250101-A-JIEU8015558-PARTS</v>
      </c>
      <c r="C291" s="29" t="s">
        <v>80</v>
      </c>
      <c r="D291" s="30" t="s">
        <v>81</v>
      </c>
      <c r="E291" s="30" t="s">
        <v>82</v>
      </c>
      <c r="F291" s="30" t="s">
        <v>83</v>
      </c>
      <c r="G291" s="31" t="s">
        <v>84</v>
      </c>
      <c r="H291" s="31"/>
      <c r="I291" s="31" t="s">
        <v>85</v>
      </c>
      <c r="J291" s="31" t="s">
        <v>193</v>
      </c>
      <c r="K291" s="31" t="s">
        <v>208</v>
      </c>
      <c r="L291" s="31">
        <v>7318158900</v>
      </c>
      <c r="M291" s="32" t="s">
        <v>139</v>
      </c>
      <c r="N291" s="33" t="s">
        <v>142</v>
      </c>
      <c r="O291" s="31">
        <v>600</v>
      </c>
      <c r="P291" s="34">
        <v>0.12</v>
      </c>
      <c r="Q291" s="34">
        <v>6</v>
      </c>
      <c r="R291" s="34">
        <v>6</v>
      </c>
      <c r="S291" s="34">
        <v>0.14</v>
      </c>
      <c r="T291" s="35">
        <v>0.005</v>
      </c>
      <c r="U291" s="35">
        <v>3</v>
      </c>
      <c r="V291" s="35">
        <v>0.01</v>
      </c>
      <c r="W291" s="35">
        <v>6</v>
      </c>
      <c r="X291" s="34">
        <v>84</v>
      </c>
      <c r="Y291" s="31"/>
      <c r="Z291" s="31"/>
      <c r="AA291" s="31"/>
      <c r="AB291" s="31"/>
    </row>
    <row r="292" ht="14.5" customHeight="1" spans="1:28">
      <c r="A292" s="6" t="s">
        <v>209</v>
      </c>
      <c r="B292" s="6" t="str">
        <f t="shared" si="4"/>
        <v>43115-DT1EJ20250101-A-JIEU8015558-PARTS</v>
      </c>
      <c r="C292" s="29" t="s">
        <v>80</v>
      </c>
      <c r="D292" s="30" t="s">
        <v>81</v>
      </c>
      <c r="E292" s="30" t="s">
        <v>82</v>
      </c>
      <c r="F292" s="30" t="s">
        <v>83</v>
      </c>
      <c r="G292" s="31" t="s">
        <v>84</v>
      </c>
      <c r="H292" s="31"/>
      <c r="I292" s="31" t="s">
        <v>85</v>
      </c>
      <c r="J292" s="31" t="s">
        <v>193</v>
      </c>
      <c r="K292" s="31" t="s">
        <v>210</v>
      </c>
      <c r="L292" s="31">
        <v>7318158900</v>
      </c>
      <c r="M292" s="32" t="s">
        <v>211</v>
      </c>
      <c r="N292" s="33" t="s">
        <v>212</v>
      </c>
      <c r="O292" s="31">
        <v>600</v>
      </c>
      <c r="P292" s="34">
        <v>0.12</v>
      </c>
      <c r="Q292" s="34">
        <v>6</v>
      </c>
      <c r="R292" s="34">
        <v>6</v>
      </c>
      <c r="S292" s="34">
        <v>0.14</v>
      </c>
      <c r="T292" s="35">
        <v>0.006</v>
      </c>
      <c r="U292" s="35">
        <v>3.6</v>
      </c>
      <c r="V292" s="35">
        <v>0.01</v>
      </c>
      <c r="W292" s="35">
        <v>6</v>
      </c>
      <c r="X292" s="34">
        <v>84</v>
      </c>
      <c r="Y292" s="31"/>
      <c r="Z292" s="31"/>
      <c r="AA292" s="31"/>
      <c r="AB292" s="31"/>
    </row>
    <row r="293" ht="14.5" customHeight="1" spans="1:28">
      <c r="B293" s="6" t="str">
        <f t="shared" si="4"/>
        <v>43115-DT1EJ20250101-A-JIEU8015558-PARTS</v>
      </c>
      <c r="C293" t="s">
        <v>80</v>
      </c>
      <c r="D293" t="s">
        <v>81</v>
      </c>
      <c r="E293" t="s">
        <v>82</v>
      </c>
      <c r="F293" t="s">
        <v>83</v>
      </c>
      <c r="G293" s="1" t="s">
        <v>84</v>
      </c>
      <c r="I293" s="1" t="s">
        <v>85</v>
      </c>
      <c r="J293" s="1" t="s">
        <v>193</v>
      </c>
      <c r="K293" s="1" t="s">
        <v>213</v>
      </c>
      <c r="L293">
        <v>7318158900</v>
      </c>
      <c r="M293" s="2" t="s">
        <v>139</v>
      </c>
      <c r="N293" s="3" t="s">
        <v>214</v>
      </c>
      <c r="O293" s="1">
        <v>120</v>
      </c>
      <c r="P293" s="4">
        <v>0.16</v>
      </c>
      <c r="Q293" s="4">
        <v>1.2</v>
      </c>
      <c r="R293" s="4">
        <v>1.2</v>
      </c>
      <c r="S293" s="4">
        <v>0.18</v>
      </c>
      <c r="T293" s="5">
        <v>0.007</v>
      </c>
      <c r="U293" s="5">
        <v>0.84</v>
      </c>
      <c r="V293" s="5">
        <v>0.01</v>
      </c>
      <c r="W293" s="5">
        <v>1.2</v>
      </c>
      <c r="X293" s="4">
        <v>21.6</v>
      </c>
    </row>
    <row r="294" ht="14.5" customHeight="1" spans="1:28">
      <c r="B294" s="6" t="str">
        <f t="shared" si="4"/>
        <v>43115-DT1EJ20250101-A-JIEU8015558-PARTS</v>
      </c>
      <c r="C294" t="s">
        <v>80</v>
      </c>
      <c r="D294" t="s">
        <v>81</v>
      </c>
      <c r="E294" t="s">
        <v>82</v>
      </c>
      <c r="F294" t="s">
        <v>83</v>
      </c>
      <c r="G294" s="1" t="s">
        <v>84</v>
      </c>
      <c r="I294" s="1" t="s">
        <v>85</v>
      </c>
      <c r="J294" s="1" t="s">
        <v>193</v>
      </c>
      <c r="K294" s="1" t="s">
        <v>215</v>
      </c>
      <c r="L294">
        <v>7318158900</v>
      </c>
      <c r="M294" s="2" t="s">
        <v>216</v>
      </c>
      <c r="N294" s="3" t="s">
        <v>217</v>
      </c>
      <c r="O294" s="1">
        <v>360</v>
      </c>
      <c r="P294" s="4">
        <v>0.22</v>
      </c>
      <c r="Q294" s="4">
        <v>7.2</v>
      </c>
      <c r="R294" s="4">
        <v>3.6</v>
      </c>
      <c r="S294" s="4">
        <v>0.25</v>
      </c>
      <c r="T294" s="5">
        <v>0.011</v>
      </c>
      <c r="U294" s="5">
        <v>3.96</v>
      </c>
      <c r="V294" s="5">
        <v>0.012</v>
      </c>
      <c r="W294" s="5">
        <v>4.32</v>
      </c>
      <c r="X294" s="4">
        <v>90</v>
      </c>
    </row>
    <row r="295" ht="14.5" customHeight="1" spans="1:28">
      <c r="B295" s="6" t="str">
        <f t="shared" si="4"/>
        <v>43115-DT1EJ20250101-A-JIEU8015558-PARTS</v>
      </c>
      <c r="C295" t="s">
        <v>80</v>
      </c>
      <c r="D295" t="s">
        <v>81</v>
      </c>
      <c r="E295" t="s">
        <v>82</v>
      </c>
      <c r="F295" t="s">
        <v>83</v>
      </c>
      <c r="G295" s="1" t="s">
        <v>84</v>
      </c>
      <c r="I295" s="1" t="s">
        <v>85</v>
      </c>
      <c r="J295" s="1" t="s">
        <v>193</v>
      </c>
      <c r="K295" s="1" t="s">
        <v>218</v>
      </c>
      <c r="L295">
        <v>7318158900</v>
      </c>
      <c r="M295" s="2" t="s">
        <v>139</v>
      </c>
      <c r="N295" s="3" t="s">
        <v>142</v>
      </c>
      <c r="O295" s="1">
        <v>600</v>
      </c>
      <c r="P295" s="4">
        <v>0.34</v>
      </c>
      <c r="Q295" s="4">
        <v>18</v>
      </c>
      <c r="R295" s="4">
        <v>6</v>
      </c>
      <c r="S295" s="4">
        <v>0.38</v>
      </c>
      <c r="T295" s="5">
        <v>0.013</v>
      </c>
      <c r="U295" s="5">
        <v>7.8</v>
      </c>
      <c r="V295" s="5">
        <v>0.014</v>
      </c>
      <c r="W295" s="5">
        <v>8.4</v>
      </c>
      <c r="X295" s="4">
        <v>228</v>
      </c>
    </row>
    <row r="296" ht="14.5" customHeight="1" spans="1:28">
      <c r="B296" s="6" t="str">
        <f t="shared" si="4"/>
        <v>43115-DT1EJ20250101-A-JIEU8015558-PARTS</v>
      </c>
      <c r="C296" s="29" t="s">
        <v>80</v>
      </c>
      <c r="D296" s="30" t="s">
        <v>81</v>
      </c>
      <c r="E296" s="30" t="s">
        <v>82</v>
      </c>
      <c r="F296" s="30" t="s">
        <v>83</v>
      </c>
      <c r="G296" s="31" t="s">
        <v>84</v>
      </c>
      <c r="H296" s="31"/>
      <c r="I296" s="31" t="s">
        <v>85</v>
      </c>
      <c r="J296" s="31" t="s">
        <v>193</v>
      </c>
      <c r="K296" s="31" t="s">
        <v>219</v>
      </c>
      <c r="L296" s="31">
        <v>7318158900</v>
      </c>
      <c r="M296" s="32" t="s">
        <v>139</v>
      </c>
      <c r="N296" s="33" t="s">
        <v>220</v>
      </c>
      <c r="O296" s="31">
        <v>120</v>
      </c>
      <c r="P296" s="34">
        <v>0.45</v>
      </c>
      <c r="Q296" s="34">
        <v>4.8</v>
      </c>
      <c r="R296" s="34">
        <v>1.2</v>
      </c>
      <c r="S296" s="34">
        <v>0.5</v>
      </c>
      <c r="T296" s="35">
        <v>0.015</v>
      </c>
      <c r="U296" s="35">
        <v>1.8</v>
      </c>
      <c r="V296" s="35">
        <v>0.02</v>
      </c>
      <c r="W296" s="35">
        <v>2.4</v>
      </c>
      <c r="X296" s="34">
        <v>60</v>
      </c>
      <c r="Y296" s="31"/>
      <c r="Z296" s="31"/>
      <c r="AA296" s="31"/>
      <c r="AB296" s="31"/>
    </row>
    <row r="297" ht="14.5" customHeight="1" spans="1:28">
      <c r="B297" s="6" t="str">
        <f t="shared" si="4"/>
        <v>43115-DT1EJ20250101-A-JIEU8015558-PARTS</v>
      </c>
      <c r="C297" t="s">
        <v>80</v>
      </c>
      <c r="D297" t="s">
        <v>81</v>
      </c>
      <c r="E297" t="s">
        <v>82</v>
      </c>
      <c r="F297" t="s">
        <v>83</v>
      </c>
      <c r="G297" s="1" t="s">
        <v>84</v>
      </c>
      <c r="I297" s="1" t="s">
        <v>85</v>
      </c>
      <c r="J297" s="1" t="s">
        <v>193</v>
      </c>
      <c r="K297" s="1" t="s">
        <v>221</v>
      </c>
      <c r="L297">
        <v>7318158900</v>
      </c>
      <c r="M297" s="2" t="s">
        <v>136</v>
      </c>
      <c r="N297" s="3" t="s">
        <v>222</v>
      </c>
      <c r="O297" s="1">
        <v>480</v>
      </c>
      <c r="P297" s="4">
        <v>0.63</v>
      </c>
      <c r="Q297" s="4">
        <v>24</v>
      </c>
      <c r="R297" s="4">
        <v>4.8</v>
      </c>
      <c r="S297" s="4">
        <v>0.69</v>
      </c>
      <c r="T297" s="5">
        <v>0.026</v>
      </c>
      <c r="U297" s="5">
        <v>12.48</v>
      </c>
      <c r="V297" s="5">
        <v>0.03</v>
      </c>
      <c r="W297" s="5">
        <v>14.4</v>
      </c>
      <c r="X297" s="4">
        <v>331.2</v>
      </c>
    </row>
    <row r="298" ht="14.5" customHeight="1" spans="1:28">
      <c r="B298" s="6" t="str">
        <f t="shared" si="4"/>
        <v>43115-DT1EJ20250101-A-JIEU8015558-PARTS</v>
      </c>
      <c r="C298" t="s">
        <v>80</v>
      </c>
      <c r="D298" t="s">
        <v>81</v>
      </c>
      <c r="E298" t="s">
        <v>82</v>
      </c>
      <c r="F298" t="s">
        <v>83</v>
      </c>
      <c r="G298" s="1" t="s">
        <v>84</v>
      </c>
      <c r="I298" s="1" t="s">
        <v>85</v>
      </c>
      <c r="J298" s="1" t="s">
        <v>193</v>
      </c>
      <c r="K298" s="1" t="s">
        <v>223</v>
      </c>
      <c r="L298">
        <v>7318158900</v>
      </c>
      <c r="M298" s="2" t="s">
        <v>139</v>
      </c>
      <c r="N298" s="3" t="s">
        <v>142</v>
      </c>
      <c r="O298" s="1">
        <v>960</v>
      </c>
      <c r="P298" s="4">
        <v>0.65</v>
      </c>
      <c r="Q298" s="4">
        <v>48</v>
      </c>
      <c r="R298" s="4">
        <v>9.6</v>
      </c>
      <c r="S298" s="4">
        <v>0.71</v>
      </c>
      <c r="T298" s="5">
        <v>0.031</v>
      </c>
      <c r="U298" s="5">
        <v>29.76</v>
      </c>
      <c r="V298" s="5">
        <v>0.032</v>
      </c>
      <c r="W298" s="5">
        <v>30.72</v>
      </c>
      <c r="X298" s="4">
        <v>681.6</v>
      </c>
    </row>
    <row r="299" ht="14.5" customHeight="1" spans="1:28">
      <c r="B299" s="6" t="str">
        <f t="shared" si="4"/>
        <v>43115-DT1EJ20250101-A-JIEU8015558-PARTS</v>
      </c>
      <c r="C299" t="s">
        <v>80</v>
      </c>
      <c r="D299" t="s">
        <v>81</v>
      </c>
      <c r="E299" t="s">
        <v>82</v>
      </c>
      <c r="F299" t="s">
        <v>83</v>
      </c>
      <c r="G299" s="1" t="s">
        <v>84</v>
      </c>
      <c r="I299" s="1" t="s">
        <v>85</v>
      </c>
      <c r="J299" s="1" t="s">
        <v>193</v>
      </c>
      <c r="K299" s="1" t="s">
        <v>224</v>
      </c>
      <c r="L299">
        <v>7318158900</v>
      </c>
      <c r="M299" s="2" t="s">
        <v>225</v>
      </c>
      <c r="N299" s="3" t="s">
        <v>226</v>
      </c>
      <c r="O299" s="1">
        <v>480</v>
      </c>
      <c r="P299" s="4">
        <v>0.87</v>
      </c>
      <c r="Q299" s="4">
        <v>33.6</v>
      </c>
      <c r="R299" s="4">
        <v>4.8</v>
      </c>
      <c r="S299" s="4">
        <v>0.95</v>
      </c>
      <c r="T299" s="5">
        <v>0.045</v>
      </c>
      <c r="U299" s="5">
        <v>21.6</v>
      </c>
      <c r="V299" s="5">
        <v>0.05</v>
      </c>
      <c r="W299" s="5">
        <v>24</v>
      </c>
      <c r="X299" s="4">
        <v>456</v>
      </c>
    </row>
    <row r="300" ht="14.5" customHeight="1" spans="1:28">
      <c r="B300" s="6" t="str">
        <f t="shared" si="4"/>
        <v>43115-DT1EJ20250101-A-JIEU8015558-PARTS</v>
      </c>
      <c r="C300" t="s">
        <v>80</v>
      </c>
      <c r="D300" t="s">
        <v>81</v>
      </c>
      <c r="E300" t="s">
        <v>82</v>
      </c>
      <c r="F300" t="s">
        <v>83</v>
      </c>
      <c r="G300" s="1" t="s">
        <v>84</v>
      </c>
      <c r="I300" s="1" t="s">
        <v>85</v>
      </c>
      <c r="J300" s="1" t="s">
        <v>193</v>
      </c>
      <c r="K300" s="1" t="s">
        <v>227</v>
      </c>
      <c r="L300">
        <v>7318158900</v>
      </c>
      <c r="M300" s="2" t="s">
        <v>228</v>
      </c>
      <c r="N300" s="3" t="s">
        <v>229</v>
      </c>
      <c r="O300" s="1">
        <v>240</v>
      </c>
      <c r="P300" s="4">
        <v>0.32</v>
      </c>
      <c r="Q300" s="4">
        <v>7.2</v>
      </c>
      <c r="R300" s="4">
        <v>2.4</v>
      </c>
      <c r="S300" s="4">
        <v>0.36</v>
      </c>
      <c r="T300" s="5">
        <v>0.019</v>
      </c>
      <c r="U300" s="5">
        <v>4.56</v>
      </c>
      <c r="V300" s="5">
        <v>0.02</v>
      </c>
      <c r="W300" s="5">
        <v>4.8</v>
      </c>
      <c r="X300" s="4">
        <v>86.4</v>
      </c>
    </row>
    <row r="301" ht="14.5" customHeight="1" spans="1:28">
      <c r="B301" s="6" t="str">
        <f t="shared" si="4"/>
        <v>43115-DT1EJ20250101-A-JIEU8015558-PARTS</v>
      </c>
      <c r="C301" t="s">
        <v>80</v>
      </c>
      <c r="D301" t="s">
        <v>81</v>
      </c>
      <c r="E301" t="s">
        <v>82</v>
      </c>
      <c r="F301" t="s">
        <v>83</v>
      </c>
      <c r="G301" s="1" t="s">
        <v>84</v>
      </c>
      <c r="I301" s="1" t="s">
        <v>85</v>
      </c>
      <c r="J301" s="1" t="s">
        <v>193</v>
      </c>
      <c r="K301" s="1" t="s">
        <v>230</v>
      </c>
      <c r="L301">
        <v>7318158900</v>
      </c>
      <c r="M301" s="2" t="s">
        <v>136</v>
      </c>
      <c r="N301" s="3" t="s">
        <v>231</v>
      </c>
      <c r="O301" s="1">
        <v>240</v>
      </c>
      <c r="P301" s="4">
        <v>0.69</v>
      </c>
      <c r="Q301" s="4">
        <v>14.4</v>
      </c>
      <c r="R301" s="4">
        <v>2.4</v>
      </c>
      <c r="S301" s="4">
        <v>0.76</v>
      </c>
      <c r="T301" s="5">
        <v>0.03</v>
      </c>
      <c r="U301" s="5">
        <v>7.2</v>
      </c>
      <c r="V301" s="5">
        <v>0.031</v>
      </c>
      <c r="W301" s="5">
        <v>7.44</v>
      </c>
      <c r="X301" s="4">
        <v>182.4</v>
      </c>
    </row>
    <row r="302" ht="14.5" customHeight="1" spans="1:28">
      <c r="B302" s="6" t="str">
        <f t="shared" si="4"/>
        <v>43115-DT1EJ20250101-A-JIEU8015558-PARTS</v>
      </c>
      <c r="C302" t="s">
        <v>80</v>
      </c>
      <c r="D302" t="s">
        <v>81</v>
      </c>
      <c r="E302" t="s">
        <v>82</v>
      </c>
      <c r="F302" t="s">
        <v>83</v>
      </c>
      <c r="G302" s="1" t="s">
        <v>84</v>
      </c>
      <c r="I302" s="1" t="s">
        <v>85</v>
      </c>
      <c r="J302" s="1" t="s">
        <v>193</v>
      </c>
      <c r="K302" s="1" t="s">
        <v>232</v>
      </c>
      <c r="L302">
        <v>7318158900</v>
      </c>
      <c r="M302" s="2" t="s">
        <v>139</v>
      </c>
      <c r="N302" s="3" t="s">
        <v>233</v>
      </c>
      <c r="O302" s="1">
        <v>360</v>
      </c>
      <c r="P302" s="4">
        <v>1.55</v>
      </c>
      <c r="Q302" s="4">
        <v>43.2</v>
      </c>
      <c r="R302" s="4">
        <v>3.6</v>
      </c>
      <c r="S302" s="4">
        <v>1.68</v>
      </c>
      <c r="T302" s="5">
        <v>0.07</v>
      </c>
      <c r="U302" s="5">
        <v>25.2</v>
      </c>
      <c r="V302" s="5">
        <v>0.071</v>
      </c>
      <c r="W302" s="5">
        <v>25.56</v>
      </c>
      <c r="X302" s="4">
        <v>604.8</v>
      </c>
    </row>
    <row r="303" ht="14.5" customHeight="1" spans="1:28">
      <c r="B303" s="6" t="str">
        <f t="shared" si="4"/>
        <v>43115-DT1EJ20250101-A-JIEU8015558-PARTS</v>
      </c>
      <c r="C303" t="s">
        <v>80</v>
      </c>
      <c r="D303" t="s">
        <v>81</v>
      </c>
      <c r="E303" t="s">
        <v>82</v>
      </c>
      <c r="F303" t="s">
        <v>83</v>
      </c>
      <c r="G303" s="1" t="s">
        <v>84</v>
      </c>
      <c r="I303" s="1" t="s">
        <v>85</v>
      </c>
      <c r="J303" s="1" t="s">
        <v>193</v>
      </c>
      <c r="K303" s="1" t="s">
        <v>234</v>
      </c>
      <c r="L303">
        <v>7318158900</v>
      </c>
      <c r="M303" s="2" t="s">
        <v>139</v>
      </c>
      <c r="N303" s="3" t="s">
        <v>235</v>
      </c>
      <c r="O303" s="1">
        <v>480</v>
      </c>
      <c r="P303" s="4">
        <v>1.4</v>
      </c>
      <c r="Q303" s="4">
        <v>52.8</v>
      </c>
      <c r="R303" s="4">
        <v>4.8</v>
      </c>
      <c r="S303" s="4">
        <v>1.52</v>
      </c>
      <c r="T303" s="5">
        <v>0.041</v>
      </c>
      <c r="U303" s="5">
        <v>19.68</v>
      </c>
      <c r="V303" s="5">
        <v>0.042</v>
      </c>
      <c r="W303" s="5">
        <v>20.16</v>
      </c>
      <c r="X303" s="4">
        <v>729.6</v>
      </c>
    </row>
    <row r="304" ht="14.5" customHeight="1" spans="1:28">
      <c r="B304" s="6" t="str">
        <f t="shared" si="4"/>
        <v>43115-DT1EJ20250101-A-JIEU8015558-PARTS</v>
      </c>
      <c r="C304" s="29" t="s">
        <v>80</v>
      </c>
      <c r="D304" s="30" t="s">
        <v>81</v>
      </c>
      <c r="E304" s="30" t="s">
        <v>82</v>
      </c>
      <c r="F304" s="30" t="s">
        <v>83</v>
      </c>
      <c r="G304" s="31" t="s">
        <v>84</v>
      </c>
      <c r="H304" s="31"/>
      <c r="I304" s="31" t="s">
        <v>85</v>
      </c>
      <c r="J304" s="31" t="s">
        <v>193</v>
      </c>
      <c r="K304" s="31" t="s">
        <v>236</v>
      </c>
      <c r="L304" s="31">
        <v>7318158900</v>
      </c>
      <c r="M304" s="32" t="s">
        <v>237</v>
      </c>
      <c r="N304" s="33" t="s">
        <v>238</v>
      </c>
      <c r="O304" s="31">
        <v>120</v>
      </c>
      <c r="P304" s="34">
        <v>2.03</v>
      </c>
      <c r="Q304" s="34">
        <v>19.2</v>
      </c>
      <c r="R304" s="34">
        <v>1.2</v>
      </c>
      <c r="S304" s="34">
        <v>2.2</v>
      </c>
      <c r="T304" s="35">
        <v>0.068</v>
      </c>
      <c r="U304" s="35">
        <v>8.16</v>
      </c>
      <c r="V304" s="35">
        <v>0.07</v>
      </c>
      <c r="W304" s="35">
        <v>8.4</v>
      </c>
      <c r="X304" s="34">
        <v>264</v>
      </c>
      <c r="Y304" s="31"/>
      <c r="Z304" s="31"/>
      <c r="AA304" s="31"/>
      <c r="AB304" s="31"/>
    </row>
    <row r="305" ht="14.5" customHeight="1" spans="1:28">
      <c r="B305" s="6" t="str">
        <f t="shared" si="4"/>
        <v>43115-DT1EJ20250101-A-JIEU8015558-PARTS</v>
      </c>
      <c r="C305" s="29" t="s">
        <v>80</v>
      </c>
      <c r="D305" s="30" t="s">
        <v>81</v>
      </c>
      <c r="E305" s="30" t="s">
        <v>82</v>
      </c>
      <c r="F305" s="30" t="s">
        <v>83</v>
      </c>
      <c r="G305" s="31" t="s">
        <v>84</v>
      </c>
      <c r="H305" s="31"/>
      <c r="I305" s="31" t="s">
        <v>85</v>
      </c>
      <c r="J305" s="31" t="s">
        <v>193</v>
      </c>
      <c r="K305" s="31" t="s">
        <v>239</v>
      </c>
      <c r="L305" s="31">
        <v>7318158900</v>
      </c>
      <c r="M305" s="32" t="s">
        <v>139</v>
      </c>
      <c r="N305" s="33" t="s">
        <v>222</v>
      </c>
      <c r="O305" s="31">
        <v>120</v>
      </c>
      <c r="P305" s="34">
        <v>1.9</v>
      </c>
      <c r="Q305" s="34">
        <v>18</v>
      </c>
      <c r="R305" s="34">
        <v>1.2</v>
      </c>
      <c r="S305" s="34">
        <v>2.06</v>
      </c>
      <c r="T305" s="35">
        <v>0.089</v>
      </c>
      <c r="U305" s="35">
        <v>10.68</v>
      </c>
      <c r="V305" s="35">
        <v>0.09</v>
      </c>
      <c r="W305" s="35">
        <v>10.8</v>
      </c>
      <c r="X305" s="34">
        <v>247.2</v>
      </c>
      <c r="Y305" s="31"/>
      <c r="Z305" s="31"/>
      <c r="AA305" s="31"/>
      <c r="AB305" s="31"/>
    </row>
    <row r="306" ht="14.5" customHeight="1" spans="1:28">
      <c r="B306" s="6" t="str">
        <f t="shared" si="4"/>
        <v>43115-DT1EJ20250101-A-JIEU8015558-PARTS</v>
      </c>
      <c r="C306" s="29" t="s">
        <v>80</v>
      </c>
      <c r="D306" s="30" t="s">
        <v>81</v>
      </c>
      <c r="E306" s="30" t="s">
        <v>82</v>
      </c>
      <c r="F306" s="30" t="s">
        <v>83</v>
      </c>
      <c r="G306" s="31" t="s">
        <v>84</v>
      </c>
      <c r="H306" s="31"/>
      <c r="I306" s="31" t="s">
        <v>85</v>
      </c>
      <c r="J306" s="31" t="s">
        <v>193</v>
      </c>
      <c r="K306" s="31" t="s">
        <v>240</v>
      </c>
      <c r="L306" s="31">
        <v>7318158900</v>
      </c>
      <c r="M306" s="32" t="s">
        <v>241</v>
      </c>
      <c r="N306" s="33" t="s">
        <v>231</v>
      </c>
      <c r="O306" s="31">
        <v>360</v>
      </c>
      <c r="P306" s="34">
        <v>1.18</v>
      </c>
      <c r="Q306" s="34">
        <v>32.4</v>
      </c>
      <c r="R306" s="34">
        <v>3.6</v>
      </c>
      <c r="S306" s="34">
        <v>1.28</v>
      </c>
      <c r="T306" s="35">
        <v>0.044</v>
      </c>
      <c r="U306" s="35">
        <v>15.84</v>
      </c>
      <c r="V306" s="35">
        <v>0.05</v>
      </c>
      <c r="W306" s="35">
        <v>18</v>
      </c>
      <c r="X306" s="34">
        <v>460.8</v>
      </c>
      <c r="Y306" s="31"/>
      <c r="Z306" s="31"/>
      <c r="AA306" s="31"/>
      <c r="AB306" s="31"/>
    </row>
    <row r="307" ht="14.5" customHeight="1" spans="1:28">
      <c r="B307" s="6" t="str">
        <f t="shared" si="4"/>
        <v>43115-DT1EJ20250101-A-JIEU8015558-PARTS</v>
      </c>
      <c r="C307" t="s">
        <v>80</v>
      </c>
      <c r="D307" t="s">
        <v>81</v>
      </c>
      <c r="E307" t="s">
        <v>82</v>
      </c>
      <c r="F307" t="s">
        <v>83</v>
      </c>
      <c r="G307" s="1" t="s">
        <v>84</v>
      </c>
      <c r="I307" s="1" t="s">
        <v>85</v>
      </c>
      <c r="J307" s="1" t="s">
        <v>193</v>
      </c>
      <c r="K307" s="1" t="s">
        <v>242</v>
      </c>
      <c r="L307">
        <v>7318158900</v>
      </c>
      <c r="M307" s="2" t="s">
        <v>243</v>
      </c>
      <c r="N307" s="3" t="s">
        <v>142</v>
      </c>
      <c r="O307" s="1">
        <v>480</v>
      </c>
      <c r="P307" s="4">
        <v>0.2</v>
      </c>
      <c r="Q307" s="4">
        <v>9.6</v>
      </c>
      <c r="R307" s="4">
        <v>4.8</v>
      </c>
      <c r="S307" s="4">
        <v>0.23</v>
      </c>
      <c r="T307" s="5">
        <v>0.007</v>
      </c>
      <c r="U307" s="5">
        <v>3.36</v>
      </c>
      <c r="V307" s="5">
        <v>0.01</v>
      </c>
      <c r="W307" s="5">
        <v>4.8</v>
      </c>
      <c r="X307" s="4">
        <v>110.4</v>
      </c>
    </row>
    <row r="308" ht="14.5" customHeight="1" spans="1:28">
      <c r="B308" s="6" t="str">
        <f t="shared" si="4"/>
        <v>43115-DT1EJ20250101-A-JIEU8015558-PARTS</v>
      </c>
      <c r="C308" s="29" t="s">
        <v>80</v>
      </c>
      <c r="D308" s="30" t="s">
        <v>81</v>
      </c>
      <c r="E308" s="30" t="s">
        <v>82</v>
      </c>
      <c r="F308" s="30" t="s">
        <v>83</v>
      </c>
      <c r="G308" s="31" t="s">
        <v>84</v>
      </c>
      <c r="H308" s="31"/>
      <c r="I308" s="31" t="s">
        <v>85</v>
      </c>
      <c r="J308" s="31" t="s">
        <v>193</v>
      </c>
      <c r="K308" s="31" t="s">
        <v>244</v>
      </c>
      <c r="L308" s="31">
        <v>7318158900</v>
      </c>
      <c r="M308" s="32" t="s">
        <v>144</v>
      </c>
      <c r="N308" s="33" t="s">
        <v>245</v>
      </c>
      <c r="O308" s="31">
        <v>360</v>
      </c>
      <c r="P308" s="34">
        <v>0.23</v>
      </c>
      <c r="Q308" s="34">
        <v>7.2</v>
      </c>
      <c r="R308" s="34">
        <v>3.6</v>
      </c>
      <c r="S308" s="34">
        <v>0.26</v>
      </c>
      <c r="T308" s="35">
        <v>0.016</v>
      </c>
      <c r="U308" s="35">
        <v>5.76</v>
      </c>
      <c r="V308" s="35">
        <v>0.02</v>
      </c>
      <c r="W308" s="35">
        <v>7.2</v>
      </c>
      <c r="X308" s="34">
        <v>93.6</v>
      </c>
      <c r="Y308" s="31"/>
      <c r="Z308" s="31"/>
      <c r="AA308" s="31"/>
      <c r="AB308" s="31"/>
    </row>
    <row r="309" ht="14.5" customHeight="1" spans="1:28">
      <c r="B309" s="6" t="str">
        <f t="shared" si="4"/>
        <v>43115-DT1EJ20250101-A-JIEU8015558-PARTS</v>
      </c>
      <c r="C309" s="29" t="s">
        <v>80</v>
      </c>
      <c r="D309" s="30" t="s">
        <v>81</v>
      </c>
      <c r="E309" s="30" t="s">
        <v>82</v>
      </c>
      <c r="F309" s="30" t="s">
        <v>83</v>
      </c>
      <c r="G309" s="31" t="s">
        <v>84</v>
      </c>
      <c r="H309" s="31"/>
      <c r="I309" s="31" t="s">
        <v>85</v>
      </c>
      <c r="J309" s="31" t="s">
        <v>193</v>
      </c>
      <c r="K309" s="31" t="s">
        <v>246</v>
      </c>
      <c r="L309" s="31">
        <v>7318158900</v>
      </c>
      <c r="M309" s="32" t="s">
        <v>144</v>
      </c>
      <c r="N309" s="33" t="s">
        <v>247</v>
      </c>
      <c r="O309" s="31">
        <v>360</v>
      </c>
      <c r="P309" s="34">
        <v>1.66</v>
      </c>
      <c r="Q309" s="34">
        <v>46.8</v>
      </c>
      <c r="R309" s="34">
        <v>3.6</v>
      </c>
      <c r="S309" s="34">
        <v>1.8</v>
      </c>
      <c r="T309" s="35">
        <v>0.063</v>
      </c>
      <c r="U309" s="35">
        <v>22.68</v>
      </c>
      <c r="V309" s="35">
        <v>0.07</v>
      </c>
      <c r="W309" s="35">
        <v>25.2</v>
      </c>
      <c r="X309" s="34">
        <v>648</v>
      </c>
      <c r="Y309" s="31"/>
      <c r="Z309" s="31"/>
      <c r="AA309" s="31"/>
      <c r="AB309" s="31"/>
    </row>
    <row r="310" ht="14.5" customHeight="1" spans="1:28">
      <c r="B310" s="6" t="str">
        <f t="shared" si="4"/>
        <v>43115-DT1EJ20250101-A-JIEU8015558-PARTS</v>
      </c>
      <c r="C310" s="29" t="s">
        <v>80</v>
      </c>
      <c r="D310" s="30" t="s">
        <v>81</v>
      </c>
      <c r="E310" s="30" t="s">
        <v>82</v>
      </c>
      <c r="F310" s="30" t="s">
        <v>83</v>
      </c>
      <c r="G310" s="31" t="s">
        <v>84</v>
      </c>
      <c r="H310" s="31"/>
      <c r="I310" s="31" t="s">
        <v>85</v>
      </c>
      <c r="J310" s="31" t="s">
        <v>193</v>
      </c>
      <c r="K310" s="31" t="s">
        <v>248</v>
      </c>
      <c r="L310" s="31">
        <v>7318169109</v>
      </c>
      <c r="M310" s="32" t="s">
        <v>249</v>
      </c>
      <c r="N310" s="33" t="s">
        <v>250</v>
      </c>
      <c r="O310" s="31">
        <v>240</v>
      </c>
      <c r="P310" s="34">
        <v>0.08</v>
      </c>
      <c r="Q310" s="34">
        <v>2.4</v>
      </c>
      <c r="R310" s="34">
        <v>2.4</v>
      </c>
      <c r="S310" s="34">
        <v>0.1</v>
      </c>
      <c r="T310" s="35">
        <v>0.003</v>
      </c>
      <c r="U310" s="35">
        <v>0.72</v>
      </c>
      <c r="V310" s="35">
        <v>0.004</v>
      </c>
      <c r="W310" s="35">
        <v>0.96</v>
      </c>
      <c r="X310" s="34">
        <v>24</v>
      </c>
      <c r="Y310" s="31"/>
      <c r="Z310" s="31"/>
      <c r="AA310" s="31"/>
      <c r="AB310" s="31"/>
    </row>
    <row r="311" ht="14.5" customHeight="1" spans="1:28">
      <c r="B311" s="6" t="str">
        <f t="shared" si="4"/>
        <v>43115-DT1EJ20250101-A-JIEU8015558-PARTS</v>
      </c>
      <c r="C311" s="29" t="s">
        <v>80</v>
      </c>
      <c r="D311" s="30" t="s">
        <v>81</v>
      </c>
      <c r="E311" s="30" t="s">
        <v>82</v>
      </c>
      <c r="F311" s="30" t="s">
        <v>83</v>
      </c>
      <c r="G311" s="31" t="s">
        <v>84</v>
      </c>
      <c r="H311" s="31"/>
      <c r="I311" s="31" t="s">
        <v>85</v>
      </c>
      <c r="J311" s="31" t="s">
        <v>193</v>
      </c>
      <c r="K311" s="31" t="s">
        <v>251</v>
      </c>
      <c r="L311" s="31">
        <v>7318169109</v>
      </c>
      <c r="M311" s="32" t="s">
        <v>252</v>
      </c>
      <c r="N311" s="33" t="s">
        <v>250</v>
      </c>
      <c r="O311" s="31">
        <v>240</v>
      </c>
      <c r="P311" s="34">
        <v>0.11</v>
      </c>
      <c r="Q311" s="34">
        <v>2.4</v>
      </c>
      <c r="R311" s="34">
        <v>2.4</v>
      </c>
      <c r="S311" s="34">
        <v>0.13</v>
      </c>
      <c r="T311" s="35">
        <v>0.003</v>
      </c>
      <c r="U311" s="35">
        <v>0.72</v>
      </c>
      <c r="V311" s="35">
        <v>0.004</v>
      </c>
      <c r="W311" s="35">
        <v>0.96</v>
      </c>
      <c r="X311" s="34">
        <v>31.2</v>
      </c>
      <c r="Y311" s="31"/>
      <c r="Z311" s="31"/>
      <c r="AA311" s="31"/>
      <c r="AB311" s="31"/>
    </row>
    <row r="312" ht="14.5" customHeight="1" spans="1:28">
      <c r="A312" s="6" t="s">
        <v>253</v>
      </c>
      <c r="B312" s="6" t="str">
        <f t="shared" si="4"/>
        <v>43115-DT1EJ20250101-A-JIEU8015558-PARTS</v>
      </c>
      <c r="C312" s="29" t="s">
        <v>80</v>
      </c>
      <c r="D312" s="30" t="s">
        <v>81</v>
      </c>
      <c r="E312" s="30" t="s">
        <v>82</v>
      </c>
      <c r="F312" s="30" t="s">
        <v>83</v>
      </c>
      <c r="G312" s="31" t="s">
        <v>84</v>
      </c>
      <c r="H312" s="31"/>
      <c r="I312" s="31" t="s">
        <v>85</v>
      </c>
      <c r="J312" s="31" t="s">
        <v>193</v>
      </c>
      <c r="K312" s="31" t="s">
        <v>254</v>
      </c>
      <c r="L312" s="31">
        <v>7318169109</v>
      </c>
      <c r="M312" s="32" t="s">
        <v>249</v>
      </c>
      <c r="N312" s="33" t="s">
        <v>255</v>
      </c>
      <c r="O312" s="31">
        <v>240</v>
      </c>
      <c r="P312" s="34">
        <v>0.11</v>
      </c>
      <c r="Q312" s="34">
        <v>2.4</v>
      </c>
      <c r="R312" s="34">
        <v>2.4</v>
      </c>
      <c r="S312" s="34">
        <v>0.13</v>
      </c>
      <c r="T312" s="35">
        <v>0.003</v>
      </c>
      <c r="U312" s="35">
        <v>0.72</v>
      </c>
      <c r="V312" s="35">
        <v>0.004</v>
      </c>
      <c r="W312" s="35">
        <v>0.96</v>
      </c>
      <c r="X312" s="34">
        <v>31.2</v>
      </c>
      <c r="Y312" s="31"/>
      <c r="Z312" s="31"/>
      <c r="AA312" s="31"/>
      <c r="AB312" s="31"/>
    </row>
    <row r="313" ht="14.5" customHeight="1" spans="1:28">
      <c r="B313" s="6" t="str">
        <f t="shared" si="4"/>
        <v>43115-DT1EJ20250101-A-JIEU8015558-PARTS</v>
      </c>
      <c r="C313" s="29" t="s">
        <v>80</v>
      </c>
      <c r="D313" s="30" t="s">
        <v>81</v>
      </c>
      <c r="E313" s="30" t="s">
        <v>82</v>
      </c>
      <c r="F313" s="30" t="s">
        <v>83</v>
      </c>
      <c r="G313" s="31" t="s">
        <v>84</v>
      </c>
      <c r="H313" s="31"/>
      <c r="I313" s="31" t="s">
        <v>85</v>
      </c>
      <c r="J313" s="31" t="s">
        <v>193</v>
      </c>
      <c r="K313" s="31" t="s">
        <v>256</v>
      </c>
      <c r="L313" s="31">
        <v>7318169109</v>
      </c>
      <c r="M313" s="32" t="s">
        <v>249</v>
      </c>
      <c r="N313" s="33" t="s">
        <v>257</v>
      </c>
      <c r="O313" s="31">
        <v>360</v>
      </c>
      <c r="P313" s="34">
        <v>0.22</v>
      </c>
      <c r="Q313" s="34">
        <v>7.2</v>
      </c>
      <c r="R313" s="34">
        <v>3.6</v>
      </c>
      <c r="S313" s="34">
        <v>0.25</v>
      </c>
      <c r="T313" s="35">
        <v>0.007</v>
      </c>
      <c r="U313" s="35">
        <v>2.52</v>
      </c>
      <c r="V313" s="35">
        <v>0.01</v>
      </c>
      <c r="W313" s="35">
        <v>3.6</v>
      </c>
      <c r="X313" s="34">
        <v>90</v>
      </c>
      <c r="Y313" s="31"/>
      <c r="Z313" s="31"/>
      <c r="AA313" s="31"/>
      <c r="AB313" s="31"/>
    </row>
    <row r="314" ht="14.5" customHeight="1" spans="1:28">
      <c r="B314" s="6" t="str">
        <f t="shared" si="4"/>
        <v>43115-DT1EJ20250101-A-JIEU8015558-PARTS</v>
      </c>
      <c r="C314" t="s">
        <v>80</v>
      </c>
      <c r="D314" t="s">
        <v>81</v>
      </c>
      <c r="E314" t="s">
        <v>82</v>
      </c>
      <c r="F314" t="s">
        <v>83</v>
      </c>
      <c r="G314" s="1" t="s">
        <v>84</v>
      </c>
      <c r="I314" s="1" t="s">
        <v>85</v>
      </c>
      <c r="J314" s="1" t="s">
        <v>193</v>
      </c>
      <c r="K314" s="1" t="s">
        <v>258</v>
      </c>
      <c r="L314">
        <v>7318169109</v>
      </c>
      <c r="M314" s="2" t="s">
        <v>259</v>
      </c>
      <c r="N314" s="3" t="s">
        <v>260</v>
      </c>
      <c r="O314" s="1">
        <v>240</v>
      </c>
      <c r="P314" s="4">
        <v>0.42</v>
      </c>
      <c r="Q314" s="4">
        <v>7.2</v>
      </c>
      <c r="R314" s="4">
        <v>2.4</v>
      </c>
      <c r="S314" s="4">
        <v>0.46</v>
      </c>
      <c r="T314" s="5">
        <v>0.007</v>
      </c>
      <c r="U314" s="5">
        <v>1.68</v>
      </c>
      <c r="V314" s="5">
        <v>0.01</v>
      </c>
      <c r="W314" s="5">
        <v>2.4</v>
      </c>
      <c r="X314" s="4">
        <v>110.4</v>
      </c>
    </row>
    <row r="315" ht="14.5" customHeight="1" spans="1:28">
      <c r="B315" s="6" t="str">
        <f t="shared" si="4"/>
        <v>43115-DT1EJ20250101-A-JIEU8015558-PARTS</v>
      </c>
      <c r="C315" s="29" t="s">
        <v>80</v>
      </c>
      <c r="D315" s="30" t="s">
        <v>81</v>
      </c>
      <c r="E315" s="30" t="s">
        <v>82</v>
      </c>
      <c r="F315" s="30" t="s">
        <v>83</v>
      </c>
      <c r="G315" s="31" t="s">
        <v>84</v>
      </c>
      <c r="H315" s="31"/>
      <c r="I315" s="31" t="s">
        <v>85</v>
      </c>
      <c r="J315" s="31" t="s">
        <v>193</v>
      </c>
      <c r="K315" s="31" t="s">
        <v>261</v>
      </c>
      <c r="L315" s="31">
        <v>7318165000</v>
      </c>
      <c r="M315" s="32" t="s">
        <v>262</v>
      </c>
      <c r="N315" s="33" t="s">
        <v>263</v>
      </c>
      <c r="O315" s="31">
        <v>240</v>
      </c>
      <c r="P315" s="34">
        <v>1.06</v>
      </c>
      <c r="Q315" s="34">
        <v>19.2</v>
      </c>
      <c r="R315" s="34">
        <v>2.4</v>
      </c>
      <c r="S315" s="34">
        <v>1.15</v>
      </c>
      <c r="T315" s="35">
        <v>0.012</v>
      </c>
      <c r="U315" s="35">
        <v>2.88</v>
      </c>
      <c r="V315" s="35">
        <v>0.013</v>
      </c>
      <c r="W315" s="35">
        <v>3.12</v>
      </c>
      <c r="X315" s="34">
        <v>276</v>
      </c>
      <c r="Y315" s="31"/>
      <c r="Z315" s="31"/>
      <c r="AA315" s="31"/>
      <c r="AB315" s="31"/>
    </row>
    <row r="316" ht="14.5" customHeight="1" spans="1:28">
      <c r="B316" s="6" t="str">
        <f t="shared" si="4"/>
        <v>43115-DT1EJ20250101-A-JIEU8015558-PARTS</v>
      </c>
      <c r="C316" t="s">
        <v>80</v>
      </c>
      <c r="D316" t="s">
        <v>81</v>
      </c>
      <c r="E316" t="s">
        <v>82</v>
      </c>
      <c r="F316" t="s">
        <v>83</v>
      </c>
      <c r="G316" s="1" t="s">
        <v>84</v>
      </c>
      <c r="I316" s="1" t="s">
        <v>85</v>
      </c>
      <c r="J316" s="1" t="s">
        <v>193</v>
      </c>
      <c r="K316" s="1" t="s">
        <v>264</v>
      </c>
      <c r="L316">
        <v>7318165000</v>
      </c>
      <c r="M316" s="2" t="s">
        <v>265</v>
      </c>
      <c r="N316" s="3" t="s">
        <v>168</v>
      </c>
      <c r="O316" s="1">
        <v>480</v>
      </c>
      <c r="P316" s="4">
        <v>0.82</v>
      </c>
      <c r="Q316" s="4">
        <v>33.6</v>
      </c>
      <c r="R316" s="4">
        <v>4.8</v>
      </c>
      <c r="S316" s="4">
        <v>0.9</v>
      </c>
      <c r="T316" s="5">
        <v>0.012</v>
      </c>
      <c r="U316" s="5">
        <v>5.76</v>
      </c>
      <c r="V316" s="5">
        <v>0.013</v>
      </c>
      <c r="W316" s="5">
        <v>6.24</v>
      </c>
      <c r="X316" s="4">
        <v>432</v>
      </c>
    </row>
    <row r="317" ht="14.5" customHeight="1" spans="1:28">
      <c r="B317" s="6" t="str">
        <f t="shared" si="4"/>
        <v>43115-DT1EJ20250101-A-JIEU8015558-PARTS</v>
      </c>
      <c r="C317" s="29" t="s">
        <v>80</v>
      </c>
      <c r="D317" s="30" t="s">
        <v>81</v>
      </c>
      <c r="E317" s="30" t="s">
        <v>82</v>
      </c>
      <c r="F317" s="30" t="s">
        <v>83</v>
      </c>
      <c r="G317" s="31" t="s">
        <v>84</v>
      </c>
      <c r="H317" s="31"/>
      <c r="I317" s="31" t="s">
        <v>85</v>
      </c>
      <c r="J317" s="31" t="s">
        <v>193</v>
      </c>
      <c r="K317" s="31" t="s">
        <v>266</v>
      </c>
      <c r="L317" s="31">
        <v>7318149900</v>
      </c>
      <c r="M317" s="32" t="s">
        <v>267</v>
      </c>
      <c r="N317" s="33" t="s">
        <v>268</v>
      </c>
      <c r="O317" s="31">
        <v>720</v>
      </c>
      <c r="P317" s="34">
        <v>0.15</v>
      </c>
      <c r="Q317" s="34">
        <v>7.2</v>
      </c>
      <c r="R317" s="34">
        <v>7.2</v>
      </c>
      <c r="S317" s="34">
        <v>0.17</v>
      </c>
      <c r="T317" s="35">
        <v>0.005</v>
      </c>
      <c r="U317" s="35">
        <v>3.6</v>
      </c>
      <c r="V317" s="35">
        <v>0.01</v>
      </c>
      <c r="W317" s="35">
        <v>7.2</v>
      </c>
      <c r="X317" s="34">
        <v>122.4</v>
      </c>
      <c r="Y317" s="31"/>
      <c r="Z317" s="31"/>
      <c r="AA317" s="31"/>
      <c r="AB317" s="31"/>
    </row>
    <row r="318" ht="14.5" customHeight="1" spans="1:28">
      <c r="B318" s="6" t="str">
        <f t="shared" si="4"/>
        <v>43115-DT1EJ20250101-A-JIEU8015558-PARTS</v>
      </c>
      <c r="C318" t="s">
        <v>80</v>
      </c>
      <c r="D318" t="s">
        <v>81</v>
      </c>
      <c r="E318" t="s">
        <v>82</v>
      </c>
      <c r="F318" t="s">
        <v>83</v>
      </c>
      <c r="G318" s="1" t="s">
        <v>84</v>
      </c>
      <c r="I318" s="1" t="s">
        <v>85</v>
      </c>
      <c r="J318" s="1" t="s">
        <v>269</v>
      </c>
      <c r="K318" s="1" t="s">
        <v>270</v>
      </c>
      <c r="L318">
        <v>4009310000</v>
      </c>
      <c r="M318" s="2" t="s">
        <v>271</v>
      </c>
      <c r="N318" s="3" t="s">
        <v>272</v>
      </c>
      <c r="O318" s="1">
        <v>15</v>
      </c>
      <c r="P318" s="4">
        <v>33.81</v>
      </c>
      <c r="Q318" s="4">
        <v>40.65</v>
      </c>
      <c r="R318" s="4">
        <v>1.2</v>
      </c>
      <c r="S318" s="4">
        <v>36.6</v>
      </c>
      <c r="T318" s="5">
        <v>0.473</v>
      </c>
      <c r="U318" s="5">
        <v>7.095</v>
      </c>
      <c r="V318" s="5">
        <v>0.62</v>
      </c>
      <c r="W318" s="5">
        <v>9.3</v>
      </c>
      <c r="X318" s="4">
        <v>549</v>
      </c>
      <c r="Y318">
        <v>2280</v>
      </c>
      <c r="Z318">
        <v>1480</v>
      </c>
      <c r="AA318">
        <v>1280</v>
      </c>
      <c r="AB318" s="1">
        <v>4.32</v>
      </c>
    </row>
    <row r="319" ht="14.5" customHeight="1" spans="1:28">
      <c r="B319" s="6" t="str">
        <f t="shared" si="4"/>
        <v>43115-DT1EJ20250101-A-JIEU8015558-PARTS</v>
      </c>
      <c r="C319" s="29" t="s">
        <v>80</v>
      </c>
      <c r="D319" s="30" t="s">
        <v>81</v>
      </c>
      <c r="E319" s="30" t="s">
        <v>82</v>
      </c>
      <c r="F319" s="30" t="s">
        <v>83</v>
      </c>
      <c r="G319" s="31" t="s">
        <v>84</v>
      </c>
      <c r="H319" s="31"/>
      <c r="I319" s="31" t="s">
        <v>85</v>
      </c>
      <c r="J319" s="31" t="s">
        <v>269</v>
      </c>
      <c r="K319" s="31" t="s">
        <v>270</v>
      </c>
      <c r="L319" s="31">
        <v>4009310000</v>
      </c>
      <c r="M319" s="32" t="s">
        <v>271</v>
      </c>
      <c r="N319" s="33" t="s">
        <v>272</v>
      </c>
      <c r="O319" s="31">
        <v>15</v>
      </c>
      <c r="P319" s="34">
        <v>33.81</v>
      </c>
      <c r="Q319" s="34">
        <v>40.65</v>
      </c>
      <c r="R319" s="34">
        <v>1.2</v>
      </c>
      <c r="S319" s="34">
        <v>36.6</v>
      </c>
      <c r="T319" s="35">
        <v>0.473</v>
      </c>
      <c r="U319" s="35">
        <v>7.095</v>
      </c>
      <c r="V319" s="35">
        <v>0.62</v>
      </c>
      <c r="W319" s="35">
        <v>9.3</v>
      </c>
      <c r="X319" s="34">
        <v>549</v>
      </c>
      <c r="Y319" s="31"/>
      <c r="Z319" s="31"/>
      <c r="AA319" s="31"/>
      <c r="AB319" s="31"/>
    </row>
    <row r="320" ht="14.5" customHeight="1" spans="1:28">
      <c r="A320" s="6" t="s">
        <v>273</v>
      </c>
      <c r="B320" s="6" t="str">
        <f t="shared" si="4"/>
        <v>43115-DT1EJ20250101-A-JIEU8015558-PARTS</v>
      </c>
      <c r="C320" s="29" t="s">
        <v>80</v>
      </c>
      <c r="D320" s="30" t="s">
        <v>81</v>
      </c>
      <c r="E320" s="30" t="s">
        <v>82</v>
      </c>
      <c r="F320" s="30" t="s">
        <v>83</v>
      </c>
      <c r="G320" s="31" t="s">
        <v>84</v>
      </c>
      <c r="H320" s="31"/>
      <c r="I320" s="31" t="s">
        <v>85</v>
      </c>
      <c r="J320" s="31" t="s">
        <v>269</v>
      </c>
      <c r="K320" s="31" t="s">
        <v>270</v>
      </c>
      <c r="L320" s="31">
        <v>4009310000</v>
      </c>
      <c r="M320" s="32" t="s">
        <v>271</v>
      </c>
      <c r="N320" s="33" t="s">
        <v>272</v>
      </c>
      <c r="O320" s="31">
        <v>15</v>
      </c>
      <c r="P320" s="34">
        <v>33.81</v>
      </c>
      <c r="Q320" s="34">
        <v>40.65</v>
      </c>
      <c r="R320" s="34">
        <v>1.2</v>
      </c>
      <c r="S320" s="34">
        <v>36.6</v>
      </c>
      <c r="T320" s="35">
        <v>0.473</v>
      </c>
      <c r="U320" s="35">
        <v>7.095</v>
      </c>
      <c r="V320" s="35">
        <v>0.62</v>
      </c>
      <c r="W320" s="35">
        <v>9.3</v>
      </c>
      <c r="X320" s="34">
        <v>549</v>
      </c>
      <c r="Y320" s="31"/>
      <c r="Z320" s="31"/>
      <c r="AA320" s="31"/>
      <c r="AB320" s="31"/>
    </row>
    <row r="321" ht="14.5" customHeight="1" spans="2:28">
      <c r="B321" s="6" t="str">
        <f t="shared" si="4"/>
        <v>43115-DT1EJ20250101-A-JIEU8015558-PARTS</v>
      </c>
      <c r="C321" s="29" t="s">
        <v>80</v>
      </c>
      <c r="D321" s="30" t="s">
        <v>81</v>
      </c>
      <c r="E321" s="30" t="s">
        <v>82</v>
      </c>
      <c r="F321" s="30" t="s">
        <v>83</v>
      </c>
      <c r="G321" s="31" t="s">
        <v>84</v>
      </c>
      <c r="H321" s="31"/>
      <c r="I321" s="31" t="s">
        <v>85</v>
      </c>
      <c r="J321" s="31" t="s">
        <v>269</v>
      </c>
      <c r="K321" s="31" t="s">
        <v>270</v>
      </c>
      <c r="L321" s="31">
        <v>4009310000</v>
      </c>
      <c r="M321" s="32" t="s">
        <v>271</v>
      </c>
      <c r="N321" s="33" t="s">
        <v>272</v>
      </c>
      <c r="O321" s="31">
        <v>15</v>
      </c>
      <c r="P321" s="34">
        <v>33.81</v>
      </c>
      <c r="Q321" s="34">
        <v>40.65</v>
      </c>
      <c r="R321" s="34">
        <v>1.2</v>
      </c>
      <c r="S321" s="34">
        <v>36.6</v>
      </c>
      <c r="T321" s="35">
        <v>0.473</v>
      </c>
      <c r="U321" s="35">
        <v>7.095</v>
      </c>
      <c r="V321" s="35">
        <v>0.62</v>
      </c>
      <c r="W321" s="35">
        <v>9.3</v>
      </c>
      <c r="X321" s="34">
        <v>549</v>
      </c>
      <c r="Y321" s="31"/>
      <c r="Z321" s="31"/>
      <c r="AA321" s="31"/>
      <c r="AB321" s="31"/>
    </row>
    <row r="322" ht="14.5" customHeight="1" spans="2:28">
      <c r="B322" s="6" t="str">
        <f t="shared" ref="B322:B385" si="5">CONCATENATE(C322,"-",E322,"-",G322)</f>
        <v>43115-DT1EJ20250101-A-JIEU8015558-PARTS</v>
      </c>
      <c r="C322" s="29" t="s">
        <v>80</v>
      </c>
      <c r="D322" s="30" t="s">
        <v>81</v>
      </c>
      <c r="E322" s="30" t="s">
        <v>82</v>
      </c>
      <c r="F322" s="30" t="s">
        <v>83</v>
      </c>
      <c r="G322" s="31" t="s">
        <v>84</v>
      </c>
      <c r="H322" s="31"/>
      <c r="I322" s="31" t="s">
        <v>85</v>
      </c>
      <c r="J322" s="31" t="s">
        <v>269</v>
      </c>
      <c r="K322" s="31" t="s">
        <v>270</v>
      </c>
      <c r="L322" s="31">
        <v>4009310000</v>
      </c>
      <c r="M322" s="32" t="s">
        <v>271</v>
      </c>
      <c r="N322" s="33" t="s">
        <v>272</v>
      </c>
      <c r="O322" s="31">
        <v>15</v>
      </c>
      <c r="P322" s="34">
        <v>33.81</v>
      </c>
      <c r="Q322" s="34">
        <v>40.65</v>
      </c>
      <c r="R322" s="34">
        <v>1.2</v>
      </c>
      <c r="S322" s="34">
        <v>36.6</v>
      </c>
      <c r="T322" s="35">
        <v>0.473</v>
      </c>
      <c r="U322" s="35">
        <v>7.095</v>
      </c>
      <c r="V322" s="35">
        <v>0.62</v>
      </c>
      <c r="W322" s="35">
        <v>9.3</v>
      </c>
      <c r="X322" s="34">
        <v>549</v>
      </c>
      <c r="Y322" s="31"/>
      <c r="Z322" s="31"/>
      <c r="AA322" s="31"/>
      <c r="AB322" s="31"/>
    </row>
    <row r="323" ht="14.5" customHeight="1" spans="2:28">
      <c r="B323" s="6" t="str">
        <f t="shared" si="5"/>
        <v>43115-DT1EJ20250101-A-JIEU8015558-PARTS</v>
      </c>
      <c r="C323" t="s">
        <v>80</v>
      </c>
      <c r="D323" t="s">
        <v>81</v>
      </c>
      <c r="E323" t="s">
        <v>82</v>
      </c>
      <c r="F323" t="s">
        <v>83</v>
      </c>
      <c r="G323" s="1" t="s">
        <v>84</v>
      </c>
      <c r="I323" s="1" t="s">
        <v>85</v>
      </c>
      <c r="J323" s="1" t="s">
        <v>269</v>
      </c>
      <c r="K323" s="1" t="s">
        <v>270</v>
      </c>
      <c r="L323">
        <v>4009310000</v>
      </c>
      <c r="M323" s="2" t="s">
        <v>271</v>
      </c>
      <c r="N323" s="3" t="s">
        <v>272</v>
      </c>
      <c r="O323" s="1">
        <v>15</v>
      </c>
      <c r="P323" s="4">
        <v>33.81</v>
      </c>
      <c r="Q323" s="4">
        <v>40.65</v>
      </c>
      <c r="R323" s="4">
        <v>1.2</v>
      </c>
      <c r="S323" s="4">
        <v>36.6</v>
      </c>
      <c r="T323" s="5">
        <v>0.473</v>
      </c>
      <c r="U323" s="5">
        <v>7.095</v>
      </c>
      <c r="V323" s="5">
        <v>0.62</v>
      </c>
      <c r="W323" s="5">
        <v>9.3</v>
      </c>
      <c r="X323" s="4">
        <v>549</v>
      </c>
    </row>
    <row r="324" ht="14.5" customHeight="1" spans="2:28">
      <c r="B324" s="6" t="str">
        <f t="shared" si="5"/>
        <v>43115-DT1EJ20250101-A-JIEU8015558-PARTS</v>
      </c>
      <c r="C324" t="s">
        <v>80</v>
      </c>
      <c r="D324" t="s">
        <v>81</v>
      </c>
      <c r="E324" t="s">
        <v>82</v>
      </c>
      <c r="F324" t="s">
        <v>83</v>
      </c>
      <c r="G324" s="1" t="s">
        <v>84</v>
      </c>
      <c r="I324" s="1" t="s">
        <v>85</v>
      </c>
      <c r="J324" s="1" t="s">
        <v>269</v>
      </c>
      <c r="K324" s="1" t="s">
        <v>270</v>
      </c>
      <c r="L324">
        <v>4009310000</v>
      </c>
      <c r="M324" s="2" t="s">
        <v>271</v>
      </c>
      <c r="N324" s="3" t="s">
        <v>272</v>
      </c>
      <c r="O324" s="1">
        <v>15</v>
      </c>
      <c r="P324" s="4">
        <v>33.81</v>
      </c>
      <c r="Q324" s="4">
        <v>40.65</v>
      </c>
      <c r="R324" s="4">
        <v>1.2</v>
      </c>
      <c r="S324" s="4">
        <v>36.6</v>
      </c>
      <c r="T324" s="5">
        <v>0.473</v>
      </c>
      <c r="U324" s="5">
        <v>7.095</v>
      </c>
      <c r="V324" s="5">
        <v>0.62</v>
      </c>
      <c r="W324" s="5">
        <v>9.3</v>
      </c>
      <c r="X324" s="4">
        <v>549</v>
      </c>
    </row>
    <row r="325" ht="14.5" customHeight="1" spans="2:28">
      <c r="B325" s="6" t="str">
        <f t="shared" si="5"/>
        <v>43115-DT1EJ20250101-A-JIEU8015558-PARTS</v>
      </c>
      <c r="C325" t="s">
        <v>80</v>
      </c>
      <c r="D325" t="s">
        <v>81</v>
      </c>
      <c r="E325" t="s">
        <v>82</v>
      </c>
      <c r="F325" t="s">
        <v>83</v>
      </c>
      <c r="G325" s="1" t="s">
        <v>84</v>
      </c>
      <c r="I325" s="1" t="s">
        <v>85</v>
      </c>
      <c r="J325" s="1" t="s">
        <v>269</v>
      </c>
      <c r="K325" s="1" t="s">
        <v>270</v>
      </c>
      <c r="L325">
        <v>4009310000</v>
      </c>
      <c r="M325" s="2" t="s">
        <v>271</v>
      </c>
      <c r="N325" s="3" t="s">
        <v>272</v>
      </c>
      <c r="O325" s="1">
        <v>15</v>
      </c>
      <c r="P325" s="4">
        <v>33.81</v>
      </c>
      <c r="Q325" s="4">
        <v>40.65</v>
      </c>
      <c r="R325" s="4">
        <v>1.2</v>
      </c>
      <c r="S325" s="4">
        <v>36.6</v>
      </c>
      <c r="T325" s="5">
        <v>0.473</v>
      </c>
      <c r="U325" s="5">
        <v>7.095</v>
      </c>
      <c r="V325" s="5">
        <v>0.62</v>
      </c>
      <c r="W325" s="5">
        <v>9.3</v>
      </c>
      <c r="X325" s="4">
        <v>549</v>
      </c>
    </row>
    <row r="326" ht="14.5" customHeight="1" spans="2:28">
      <c r="B326" s="6" t="str">
        <f t="shared" si="5"/>
        <v>43115-DT1EJ20250101-A-JIEU8015558-PARTS</v>
      </c>
      <c r="C326" s="29" t="s">
        <v>80</v>
      </c>
      <c r="D326" s="30" t="s">
        <v>81</v>
      </c>
      <c r="E326" s="30" t="s">
        <v>82</v>
      </c>
      <c r="F326" s="30" t="s">
        <v>83</v>
      </c>
      <c r="G326" s="31" t="s">
        <v>84</v>
      </c>
      <c r="H326" s="31"/>
      <c r="I326" s="31" t="s">
        <v>85</v>
      </c>
      <c r="J326" s="31" t="s">
        <v>269</v>
      </c>
      <c r="K326" s="31" t="s">
        <v>274</v>
      </c>
      <c r="L326" s="31">
        <v>9030908500</v>
      </c>
      <c r="M326" s="32" t="s">
        <v>275</v>
      </c>
      <c r="N326" s="33" t="s">
        <v>276</v>
      </c>
      <c r="O326" s="31">
        <v>60</v>
      </c>
      <c r="P326" s="34">
        <v>62.4</v>
      </c>
      <c r="Q326" s="34">
        <v>300</v>
      </c>
      <c r="R326" s="34">
        <v>8.4</v>
      </c>
      <c r="S326" s="34">
        <v>67.54</v>
      </c>
      <c r="T326" s="35">
        <v>0.065</v>
      </c>
      <c r="U326" s="35">
        <v>3.9</v>
      </c>
      <c r="V326" s="35">
        <v>0.08</v>
      </c>
      <c r="W326" s="35">
        <v>4.8</v>
      </c>
      <c r="X326" s="34">
        <v>4052.4</v>
      </c>
      <c r="Y326" s="31"/>
      <c r="Z326" s="31"/>
      <c r="AA326" s="31"/>
      <c r="AB326" s="31"/>
    </row>
    <row r="327" ht="14.5" customHeight="1" spans="2:28">
      <c r="B327" s="6" t="str">
        <f t="shared" si="5"/>
        <v>43115-DT1EJ20250101-A-JIEU8015558-PARTS</v>
      </c>
      <c r="C327" s="29" t="s">
        <v>80</v>
      </c>
      <c r="D327" s="30" t="s">
        <v>81</v>
      </c>
      <c r="E327" s="30" t="s">
        <v>82</v>
      </c>
      <c r="F327" s="30" t="s">
        <v>83</v>
      </c>
      <c r="G327" s="31" t="s">
        <v>84</v>
      </c>
      <c r="H327" s="31"/>
      <c r="I327" s="31" t="s">
        <v>85</v>
      </c>
      <c r="J327" s="31" t="s">
        <v>269</v>
      </c>
      <c r="K327" s="31" t="s">
        <v>274</v>
      </c>
      <c r="L327" s="31">
        <v>9030908500</v>
      </c>
      <c r="M327" s="32" t="s">
        <v>275</v>
      </c>
      <c r="N327" s="33" t="s">
        <v>276</v>
      </c>
      <c r="O327" s="31">
        <v>60</v>
      </c>
      <c r="P327" s="34">
        <v>62.4</v>
      </c>
      <c r="Q327" s="34">
        <v>300</v>
      </c>
      <c r="R327" s="34">
        <v>8.4</v>
      </c>
      <c r="S327" s="34">
        <v>67.54</v>
      </c>
      <c r="T327" s="35">
        <v>0.065</v>
      </c>
      <c r="U327" s="35">
        <v>3.9</v>
      </c>
      <c r="V327" s="35">
        <v>0.08</v>
      </c>
      <c r="W327" s="35">
        <v>4.8</v>
      </c>
      <c r="X327" s="34">
        <v>4052.4</v>
      </c>
      <c r="Y327" s="31"/>
      <c r="Z327" s="31"/>
      <c r="AA327" s="31"/>
      <c r="AB327" s="31"/>
    </row>
    <row r="328" ht="14.5" customHeight="1" spans="2:28">
      <c r="B328" s="6" t="str">
        <f t="shared" si="5"/>
        <v>43115-DT1EJ20250101-A-JIEU8015558-PARTS</v>
      </c>
      <c r="C328" t="s">
        <v>80</v>
      </c>
      <c r="D328" t="s">
        <v>81</v>
      </c>
      <c r="E328" t="s">
        <v>82</v>
      </c>
      <c r="F328" t="s">
        <v>83</v>
      </c>
      <c r="G328" s="1" t="s">
        <v>84</v>
      </c>
      <c r="I328" s="1" t="s">
        <v>85</v>
      </c>
      <c r="J328" s="1" t="s">
        <v>269</v>
      </c>
      <c r="K328" s="1" t="s">
        <v>277</v>
      </c>
      <c r="L328">
        <v>8484100009</v>
      </c>
      <c r="M328" s="2" t="s">
        <v>278</v>
      </c>
      <c r="N328" s="3" t="s">
        <v>279</v>
      </c>
      <c r="O328" s="1">
        <v>120</v>
      </c>
      <c r="P328" s="4">
        <v>4.76</v>
      </c>
      <c r="Q328" s="4">
        <v>45.6</v>
      </c>
      <c r="R328" s="4">
        <v>1.2</v>
      </c>
      <c r="S328" s="4">
        <v>5.15</v>
      </c>
      <c r="T328" s="5">
        <v>0.021</v>
      </c>
      <c r="U328" s="5">
        <v>2.52</v>
      </c>
      <c r="V328" s="5">
        <v>0.03</v>
      </c>
      <c r="W328" s="5">
        <v>3.6</v>
      </c>
      <c r="X328" s="4">
        <v>618</v>
      </c>
    </row>
    <row r="329" ht="14.5" customHeight="1" spans="2:28">
      <c r="B329" s="6" t="str">
        <f t="shared" si="5"/>
        <v>43115-DT1EJ20250101-A-JIEU8015558-PARTS</v>
      </c>
      <c r="C329" t="s">
        <v>80</v>
      </c>
      <c r="D329" t="s">
        <v>81</v>
      </c>
      <c r="E329" t="s">
        <v>82</v>
      </c>
      <c r="F329" t="s">
        <v>83</v>
      </c>
      <c r="G329" s="1" t="s">
        <v>84</v>
      </c>
      <c r="I329" s="1" t="s">
        <v>85</v>
      </c>
      <c r="J329" s="1" t="s">
        <v>269</v>
      </c>
      <c r="K329" s="1" t="s">
        <v>277</v>
      </c>
      <c r="L329">
        <v>8484100009</v>
      </c>
      <c r="M329" s="2" t="s">
        <v>278</v>
      </c>
      <c r="N329" s="3" t="s">
        <v>279</v>
      </c>
      <c r="O329" s="1">
        <v>120</v>
      </c>
      <c r="P329" s="4">
        <v>4.76</v>
      </c>
      <c r="Q329" s="4">
        <v>45.6</v>
      </c>
      <c r="R329" s="4">
        <v>1.2</v>
      </c>
      <c r="S329" s="4">
        <v>5.15</v>
      </c>
      <c r="T329" s="5">
        <v>0.021</v>
      </c>
      <c r="U329" s="5">
        <v>2.52</v>
      </c>
      <c r="V329" s="5">
        <v>0.03</v>
      </c>
      <c r="W329" s="5">
        <v>3.6</v>
      </c>
      <c r="X329" s="4">
        <v>618</v>
      </c>
    </row>
    <row r="330" ht="14.5" customHeight="1" spans="2:28">
      <c r="B330" s="6" t="str">
        <f t="shared" si="5"/>
        <v>43115-DT1EJ20250101-A-JIEU8015558-PARTS</v>
      </c>
      <c r="C330" t="s">
        <v>80</v>
      </c>
      <c r="D330" t="s">
        <v>81</v>
      </c>
      <c r="E330" t="s">
        <v>82</v>
      </c>
      <c r="F330" t="s">
        <v>83</v>
      </c>
      <c r="G330" s="1" t="s">
        <v>84</v>
      </c>
      <c r="I330" s="1" t="s">
        <v>85</v>
      </c>
      <c r="J330" s="1" t="s">
        <v>269</v>
      </c>
      <c r="K330" s="1" t="s">
        <v>280</v>
      </c>
      <c r="L330">
        <v>4009310000</v>
      </c>
      <c r="M330" s="2" t="s">
        <v>281</v>
      </c>
      <c r="N330" s="3" t="s">
        <v>282</v>
      </c>
      <c r="O330" s="1">
        <v>12</v>
      </c>
      <c r="P330" s="4">
        <v>68.94</v>
      </c>
      <c r="Q330" s="4">
        <v>66.36</v>
      </c>
      <c r="R330" s="4">
        <v>1.92</v>
      </c>
      <c r="S330" s="4">
        <v>74.63</v>
      </c>
      <c r="T330" s="5">
        <v>0.764</v>
      </c>
      <c r="U330" s="5">
        <v>9.168</v>
      </c>
      <c r="V330" s="5">
        <v>0.99</v>
      </c>
      <c r="W330" s="5">
        <v>11.88</v>
      </c>
      <c r="X330" s="4">
        <v>895.56</v>
      </c>
    </row>
    <row r="331" ht="14.5" customHeight="1" spans="2:28">
      <c r="B331" s="6" t="str">
        <f t="shared" si="5"/>
        <v>43115-DT1EJ20250101-A-JIEU8015558-PARTS</v>
      </c>
      <c r="C331" t="s">
        <v>80</v>
      </c>
      <c r="D331" t="s">
        <v>81</v>
      </c>
      <c r="E331" t="s">
        <v>82</v>
      </c>
      <c r="F331" t="s">
        <v>83</v>
      </c>
      <c r="G331" s="1" t="s">
        <v>84</v>
      </c>
      <c r="I331" s="1" t="s">
        <v>85</v>
      </c>
      <c r="J331" s="1" t="s">
        <v>269</v>
      </c>
      <c r="K331" s="1" t="s">
        <v>280</v>
      </c>
      <c r="L331">
        <v>4009310000</v>
      </c>
      <c r="M331" s="2" t="s">
        <v>281</v>
      </c>
      <c r="N331" s="3" t="s">
        <v>282</v>
      </c>
      <c r="O331" s="1">
        <v>12</v>
      </c>
      <c r="P331" s="4">
        <v>68.94</v>
      </c>
      <c r="Q331" s="4">
        <v>66.36</v>
      </c>
      <c r="R331" s="4">
        <v>1.92</v>
      </c>
      <c r="S331" s="4">
        <v>74.63</v>
      </c>
      <c r="T331" s="5">
        <v>0.764</v>
      </c>
      <c r="U331" s="5">
        <v>9.168</v>
      </c>
      <c r="V331" s="5">
        <v>0.99</v>
      </c>
      <c r="W331" s="5">
        <v>11.88</v>
      </c>
      <c r="X331" s="4">
        <v>895.56</v>
      </c>
    </row>
    <row r="332" ht="14.5" customHeight="1" spans="2:28">
      <c r="B332" s="6" t="str">
        <f t="shared" si="5"/>
        <v>43115-DT1EJ20250101-A-JIEU8015558-PARTS</v>
      </c>
      <c r="C332" t="s">
        <v>80</v>
      </c>
      <c r="D332" t="s">
        <v>81</v>
      </c>
      <c r="E332" t="s">
        <v>82</v>
      </c>
      <c r="F332" t="s">
        <v>83</v>
      </c>
      <c r="G332" s="1" t="s">
        <v>84</v>
      </c>
      <c r="I332" s="1" t="s">
        <v>85</v>
      </c>
      <c r="J332" s="1" t="s">
        <v>269</v>
      </c>
      <c r="K332" s="1" t="s">
        <v>280</v>
      </c>
      <c r="L332">
        <v>4009310000</v>
      </c>
      <c r="M332" s="2" t="s">
        <v>281</v>
      </c>
      <c r="N332" s="3" t="s">
        <v>282</v>
      </c>
      <c r="O332" s="1">
        <v>12</v>
      </c>
      <c r="P332" s="4">
        <v>68.94</v>
      </c>
      <c r="Q332" s="4">
        <v>66.36</v>
      </c>
      <c r="R332" s="4">
        <v>1.92</v>
      </c>
      <c r="S332" s="4">
        <v>74.63</v>
      </c>
      <c r="T332" s="5">
        <v>0.764</v>
      </c>
      <c r="U332" s="5">
        <v>9.168</v>
      </c>
      <c r="V332" s="5">
        <v>0.99</v>
      </c>
      <c r="W332" s="5">
        <v>11.88</v>
      </c>
      <c r="X332" s="4">
        <v>895.56</v>
      </c>
    </row>
    <row r="333" ht="14.5" customHeight="1" spans="2:28">
      <c r="B333" s="6" t="str">
        <f t="shared" si="5"/>
        <v>43115-DT1EJ20250101-A-JIEU8015558-PARTS</v>
      </c>
      <c r="C333" t="s">
        <v>80</v>
      </c>
      <c r="D333" t="s">
        <v>81</v>
      </c>
      <c r="E333" t="s">
        <v>82</v>
      </c>
      <c r="F333" t="s">
        <v>83</v>
      </c>
      <c r="G333" s="1" t="s">
        <v>84</v>
      </c>
      <c r="I333" s="1" t="s">
        <v>85</v>
      </c>
      <c r="J333" s="1" t="s">
        <v>269</v>
      </c>
      <c r="K333" s="1" t="s">
        <v>280</v>
      </c>
      <c r="L333">
        <v>4009310000</v>
      </c>
      <c r="M333" s="2" t="s">
        <v>281</v>
      </c>
      <c r="N333" s="3" t="s">
        <v>282</v>
      </c>
      <c r="O333" s="1">
        <v>12</v>
      </c>
      <c r="P333" s="4">
        <v>68.94</v>
      </c>
      <c r="Q333" s="4">
        <v>66.36</v>
      </c>
      <c r="R333" s="4">
        <v>1.92</v>
      </c>
      <c r="S333" s="4">
        <v>74.63</v>
      </c>
      <c r="T333" s="5">
        <v>0.764</v>
      </c>
      <c r="U333" s="5">
        <v>9.168</v>
      </c>
      <c r="V333" s="5">
        <v>0.99</v>
      </c>
      <c r="W333" s="5">
        <v>11.88</v>
      </c>
      <c r="X333" s="4">
        <v>895.56</v>
      </c>
    </row>
    <row r="334" ht="14.5" customHeight="1" spans="2:28">
      <c r="B334" s="6" t="str">
        <f t="shared" si="5"/>
        <v>43115-DT1EJ20250101-A-JIEU8015558-PARTS</v>
      </c>
      <c r="C334" t="s">
        <v>80</v>
      </c>
      <c r="D334" t="s">
        <v>81</v>
      </c>
      <c r="E334" t="s">
        <v>82</v>
      </c>
      <c r="F334" t="s">
        <v>83</v>
      </c>
      <c r="G334" s="1" t="s">
        <v>84</v>
      </c>
      <c r="I334" s="1" t="s">
        <v>85</v>
      </c>
      <c r="J334" s="1" t="s">
        <v>269</v>
      </c>
      <c r="K334" s="1" t="s">
        <v>280</v>
      </c>
      <c r="L334">
        <v>4009310000</v>
      </c>
      <c r="M334" s="2" t="s">
        <v>281</v>
      </c>
      <c r="N334" s="3" t="s">
        <v>282</v>
      </c>
      <c r="O334" s="1">
        <v>12</v>
      </c>
      <c r="P334" s="4">
        <v>68.94</v>
      </c>
      <c r="Q334" s="4">
        <v>66.36</v>
      </c>
      <c r="R334" s="4">
        <v>1.92</v>
      </c>
      <c r="S334" s="4">
        <v>74.63</v>
      </c>
      <c r="T334" s="5">
        <v>0.764</v>
      </c>
      <c r="U334" s="5">
        <v>9.168</v>
      </c>
      <c r="V334" s="5">
        <v>0.99</v>
      </c>
      <c r="W334" s="5">
        <v>11.88</v>
      </c>
      <c r="X334" s="4">
        <v>895.56</v>
      </c>
    </row>
    <row r="335" ht="14.5" customHeight="1" spans="2:28">
      <c r="B335" s="6" t="str">
        <f t="shared" si="5"/>
        <v>43115-DT1EJ20250101-A-JIEU8015558-PARTS</v>
      </c>
      <c r="C335" t="s">
        <v>80</v>
      </c>
      <c r="D335" t="s">
        <v>81</v>
      </c>
      <c r="E335" t="s">
        <v>82</v>
      </c>
      <c r="F335" t="s">
        <v>83</v>
      </c>
      <c r="G335" s="1" t="s">
        <v>84</v>
      </c>
      <c r="I335" s="1" t="s">
        <v>85</v>
      </c>
      <c r="J335" s="1" t="s">
        <v>269</v>
      </c>
      <c r="K335" s="1" t="s">
        <v>280</v>
      </c>
      <c r="L335">
        <v>4009310000</v>
      </c>
      <c r="M335" s="2" t="s">
        <v>281</v>
      </c>
      <c r="N335" s="3" t="s">
        <v>282</v>
      </c>
      <c r="O335" s="1">
        <v>12</v>
      </c>
      <c r="P335" s="4">
        <v>68.94</v>
      </c>
      <c r="Q335" s="4">
        <v>66.36</v>
      </c>
      <c r="R335" s="4">
        <v>1.92</v>
      </c>
      <c r="S335" s="4">
        <v>74.63</v>
      </c>
      <c r="T335" s="5">
        <v>0.764</v>
      </c>
      <c r="U335" s="5">
        <v>9.168</v>
      </c>
      <c r="V335" s="5">
        <v>0.99</v>
      </c>
      <c r="W335" s="5">
        <v>11.88</v>
      </c>
      <c r="X335" s="4">
        <v>895.56</v>
      </c>
    </row>
    <row r="336" ht="14.5" customHeight="1" spans="2:28">
      <c r="B336" s="6" t="str">
        <f t="shared" si="5"/>
        <v>43115-DT1EJ20250101-A-JIEU8015558-PARTS</v>
      </c>
      <c r="C336" s="29" t="s">
        <v>80</v>
      </c>
      <c r="D336" s="30" t="s">
        <v>81</v>
      </c>
      <c r="E336" s="30" t="s">
        <v>82</v>
      </c>
      <c r="F336" s="30" t="s">
        <v>83</v>
      </c>
      <c r="G336" s="31" t="s">
        <v>84</v>
      </c>
      <c r="H336" s="31"/>
      <c r="I336" s="31" t="s">
        <v>85</v>
      </c>
      <c r="J336" s="31" t="s">
        <v>269</v>
      </c>
      <c r="K336" s="31" t="s">
        <v>280</v>
      </c>
      <c r="L336" s="31">
        <v>4009310000</v>
      </c>
      <c r="M336" s="32" t="s">
        <v>281</v>
      </c>
      <c r="N336" s="33" t="s">
        <v>282</v>
      </c>
      <c r="O336" s="31">
        <v>12</v>
      </c>
      <c r="P336" s="34">
        <v>68.94</v>
      </c>
      <c r="Q336" s="34">
        <v>66.36</v>
      </c>
      <c r="R336" s="34">
        <v>1.92</v>
      </c>
      <c r="S336" s="34">
        <v>74.63</v>
      </c>
      <c r="T336" s="35">
        <v>0.764</v>
      </c>
      <c r="U336" s="35">
        <v>9.168</v>
      </c>
      <c r="V336" s="35">
        <v>0.99</v>
      </c>
      <c r="W336" s="35">
        <v>11.88</v>
      </c>
      <c r="X336" s="34">
        <v>895.56</v>
      </c>
      <c r="Y336" s="31"/>
      <c r="Z336" s="31"/>
      <c r="AA336" s="31"/>
      <c r="AB336" s="31"/>
    </row>
    <row r="337" ht="14.5" customHeight="1" spans="2:28">
      <c r="B337" s="6" t="str">
        <f t="shared" si="5"/>
        <v>43115-DT1EJ20250101-A-JIEU8015558-PARTS</v>
      </c>
      <c r="C337" s="29" t="s">
        <v>80</v>
      </c>
      <c r="D337" s="30" t="s">
        <v>81</v>
      </c>
      <c r="E337" s="30" t="s">
        <v>82</v>
      </c>
      <c r="F337" s="30" t="s">
        <v>83</v>
      </c>
      <c r="G337" s="31" t="s">
        <v>84</v>
      </c>
      <c r="H337" s="31"/>
      <c r="I337" s="31" t="s">
        <v>85</v>
      </c>
      <c r="J337" s="31" t="s">
        <v>269</v>
      </c>
      <c r="K337" s="31" t="s">
        <v>280</v>
      </c>
      <c r="L337" s="31">
        <v>4009310000</v>
      </c>
      <c r="M337" s="32" t="s">
        <v>281</v>
      </c>
      <c r="N337" s="33" t="s">
        <v>282</v>
      </c>
      <c r="O337" s="31">
        <v>12</v>
      </c>
      <c r="P337" s="34">
        <v>68.94</v>
      </c>
      <c r="Q337" s="34">
        <v>66.36</v>
      </c>
      <c r="R337" s="34">
        <v>1.92</v>
      </c>
      <c r="S337" s="34">
        <v>74.63</v>
      </c>
      <c r="T337" s="35">
        <v>0.764</v>
      </c>
      <c r="U337" s="35">
        <v>9.168</v>
      </c>
      <c r="V337" s="35">
        <v>0.99</v>
      </c>
      <c r="W337" s="35">
        <v>11.88</v>
      </c>
      <c r="X337" s="34">
        <v>895.56</v>
      </c>
      <c r="Y337" s="31"/>
      <c r="Z337" s="31"/>
      <c r="AA337" s="31"/>
      <c r="AB337" s="31"/>
    </row>
    <row r="338" ht="14.5" customHeight="1" spans="2:28">
      <c r="B338" s="6" t="str">
        <f t="shared" si="5"/>
        <v>43115-DT1EJ20250101-A-JIEU8015558-PARTS</v>
      </c>
      <c r="C338" s="29" t="s">
        <v>80</v>
      </c>
      <c r="D338" s="30" t="s">
        <v>81</v>
      </c>
      <c r="E338" s="30" t="s">
        <v>82</v>
      </c>
      <c r="F338" s="30" t="s">
        <v>83</v>
      </c>
      <c r="G338" s="31" t="s">
        <v>84</v>
      </c>
      <c r="H338" s="31"/>
      <c r="I338" s="31" t="s">
        <v>85</v>
      </c>
      <c r="J338" s="31" t="s">
        <v>269</v>
      </c>
      <c r="K338" s="31" t="s">
        <v>280</v>
      </c>
      <c r="L338" s="31">
        <v>4009310000</v>
      </c>
      <c r="M338" s="32" t="s">
        <v>281</v>
      </c>
      <c r="N338" s="33" t="s">
        <v>282</v>
      </c>
      <c r="O338" s="31">
        <v>12</v>
      </c>
      <c r="P338" s="34">
        <v>68.94</v>
      </c>
      <c r="Q338" s="34">
        <v>66.36</v>
      </c>
      <c r="R338" s="34">
        <v>1.92</v>
      </c>
      <c r="S338" s="34">
        <v>74.63</v>
      </c>
      <c r="T338" s="35">
        <v>0.764</v>
      </c>
      <c r="U338" s="35">
        <v>9.168</v>
      </c>
      <c r="V338" s="35">
        <v>0.99</v>
      </c>
      <c r="W338" s="35">
        <v>11.88</v>
      </c>
      <c r="X338" s="34">
        <v>895.56</v>
      </c>
      <c r="Y338" s="31"/>
      <c r="Z338" s="31"/>
      <c r="AA338" s="31"/>
      <c r="AB338" s="31"/>
    </row>
    <row r="339" ht="14.5" customHeight="1" spans="2:28">
      <c r="B339" s="6" t="str">
        <f t="shared" si="5"/>
        <v>43115-DT1EJ20250101-A-JIEU8015558-PARTS</v>
      </c>
      <c r="C339" s="29" t="s">
        <v>80</v>
      </c>
      <c r="D339" s="30" t="s">
        <v>81</v>
      </c>
      <c r="E339" s="30" t="s">
        <v>82</v>
      </c>
      <c r="F339" s="30" t="s">
        <v>83</v>
      </c>
      <c r="G339" s="31" t="s">
        <v>84</v>
      </c>
      <c r="H339" s="31"/>
      <c r="I339" s="31" t="s">
        <v>85</v>
      </c>
      <c r="J339" s="31" t="s">
        <v>269</v>
      </c>
      <c r="K339" s="31" t="s">
        <v>280</v>
      </c>
      <c r="L339" s="31">
        <v>4009310000</v>
      </c>
      <c r="M339" s="32" t="s">
        <v>281</v>
      </c>
      <c r="N339" s="33" t="s">
        <v>282</v>
      </c>
      <c r="O339" s="31">
        <v>12</v>
      </c>
      <c r="P339" s="34">
        <v>68.94</v>
      </c>
      <c r="Q339" s="34">
        <v>66.36</v>
      </c>
      <c r="R339" s="34">
        <v>1.92</v>
      </c>
      <c r="S339" s="34">
        <v>74.63</v>
      </c>
      <c r="T339" s="35">
        <v>0.764</v>
      </c>
      <c r="U339" s="35">
        <v>9.168</v>
      </c>
      <c r="V339" s="35">
        <v>0.99</v>
      </c>
      <c r="W339" s="35">
        <v>11.88</v>
      </c>
      <c r="X339" s="34">
        <v>895.56</v>
      </c>
      <c r="Y339" s="31"/>
      <c r="Z339" s="31"/>
      <c r="AA339" s="31"/>
      <c r="AB339" s="31"/>
    </row>
    <row r="340" ht="14.5" customHeight="1" spans="2:28">
      <c r="B340" s="6" t="str">
        <f t="shared" si="5"/>
        <v>43115-DT1EJ20250101-A-JIEU8015558-PARTS</v>
      </c>
      <c r="C340" t="s">
        <v>80</v>
      </c>
      <c r="D340" t="s">
        <v>81</v>
      </c>
      <c r="E340" t="s">
        <v>82</v>
      </c>
      <c r="F340" t="s">
        <v>83</v>
      </c>
      <c r="G340" s="1" t="s">
        <v>84</v>
      </c>
      <c r="I340" s="1" t="s">
        <v>85</v>
      </c>
      <c r="J340" s="1" t="s">
        <v>269</v>
      </c>
      <c r="K340" s="1" t="s">
        <v>283</v>
      </c>
      <c r="L340">
        <v>9025900008</v>
      </c>
      <c r="M340" s="2" t="s">
        <v>284</v>
      </c>
      <c r="N340" s="3" t="s">
        <v>285</v>
      </c>
      <c r="O340" s="1">
        <v>60</v>
      </c>
      <c r="P340" s="4">
        <v>9.24</v>
      </c>
      <c r="Q340" s="4">
        <v>44.4</v>
      </c>
      <c r="R340" s="4">
        <v>1.2</v>
      </c>
      <c r="S340" s="4">
        <v>10</v>
      </c>
      <c r="T340" s="5">
        <v>0.008</v>
      </c>
      <c r="U340" s="5">
        <v>0.48</v>
      </c>
      <c r="V340" s="5">
        <v>0.01</v>
      </c>
      <c r="W340" s="5">
        <v>0.6</v>
      </c>
      <c r="X340" s="4">
        <v>600</v>
      </c>
    </row>
    <row r="341" ht="14.5" customHeight="1" spans="2:28">
      <c r="B341" s="6" t="str">
        <f t="shared" si="5"/>
        <v>43115-DT1EJ20250101-A-JIEU8015558-PARTS</v>
      </c>
      <c r="C341" t="s">
        <v>80</v>
      </c>
      <c r="D341" t="s">
        <v>81</v>
      </c>
      <c r="E341" t="s">
        <v>82</v>
      </c>
      <c r="F341" t="s">
        <v>83</v>
      </c>
      <c r="G341" s="1" t="s">
        <v>84</v>
      </c>
      <c r="I341" s="1" t="s">
        <v>85</v>
      </c>
      <c r="J341" s="1" t="s">
        <v>269</v>
      </c>
      <c r="K341" s="1" t="s">
        <v>283</v>
      </c>
      <c r="L341">
        <v>9025900008</v>
      </c>
      <c r="M341" s="2" t="s">
        <v>284</v>
      </c>
      <c r="N341" s="3" t="s">
        <v>285</v>
      </c>
      <c r="O341" s="1">
        <v>60</v>
      </c>
      <c r="P341" s="4">
        <v>9.24</v>
      </c>
      <c r="Q341" s="4">
        <v>44.4</v>
      </c>
      <c r="R341" s="4">
        <v>1.2</v>
      </c>
      <c r="S341" s="4">
        <v>10</v>
      </c>
      <c r="T341" s="5">
        <v>0.008</v>
      </c>
      <c r="U341" s="5">
        <v>0.48</v>
      </c>
      <c r="V341" s="5">
        <v>0.01</v>
      </c>
      <c r="W341" s="5">
        <v>0.6</v>
      </c>
      <c r="X341" s="4">
        <v>600</v>
      </c>
    </row>
    <row r="342" ht="14.5" customHeight="1" spans="2:28">
      <c r="B342" s="6" t="str">
        <f t="shared" si="5"/>
        <v>43115-DT1EJ20250101-A-JIEU8015558-PARTS</v>
      </c>
      <c r="C342" t="s">
        <v>80</v>
      </c>
      <c r="D342" t="s">
        <v>81</v>
      </c>
      <c r="E342" t="s">
        <v>82</v>
      </c>
      <c r="F342" t="s">
        <v>83</v>
      </c>
      <c r="G342" s="1" t="s">
        <v>84</v>
      </c>
      <c r="I342" s="1" t="s">
        <v>85</v>
      </c>
      <c r="J342" s="1" t="s">
        <v>269</v>
      </c>
      <c r="K342" s="1" t="s">
        <v>286</v>
      </c>
      <c r="L342">
        <v>9029900009</v>
      </c>
      <c r="M342" s="2" t="s">
        <v>287</v>
      </c>
      <c r="N342" s="3" t="s">
        <v>288</v>
      </c>
      <c r="O342" s="1">
        <v>60</v>
      </c>
      <c r="P342" s="4">
        <v>27.19</v>
      </c>
      <c r="Q342" s="4">
        <v>130.8</v>
      </c>
      <c r="R342" s="4">
        <v>3.6</v>
      </c>
      <c r="S342" s="4">
        <v>29.43</v>
      </c>
      <c r="T342" s="5">
        <v>0.017</v>
      </c>
      <c r="U342" s="5">
        <v>1.02</v>
      </c>
      <c r="V342" s="5">
        <v>0.02</v>
      </c>
      <c r="W342" s="5">
        <v>1.2</v>
      </c>
      <c r="X342" s="4">
        <v>1765.8</v>
      </c>
    </row>
    <row r="343" ht="14.5" customHeight="1" spans="2:28">
      <c r="B343" s="6" t="str">
        <f t="shared" si="5"/>
        <v>43115-DT1EJ20250101-A-JIEU8015558-PARTS</v>
      </c>
      <c r="C343" t="s">
        <v>80</v>
      </c>
      <c r="D343" t="s">
        <v>81</v>
      </c>
      <c r="E343" t="s">
        <v>82</v>
      </c>
      <c r="F343" t="s">
        <v>83</v>
      </c>
      <c r="G343" s="1" t="s">
        <v>84</v>
      </c>
      <c r="I343" s="1" t="s">
        <v>85</v>
      </c>
      <c r="J343" s="1" t="s">
        <v>269</v>
      </c>
      <c r="K343" s="1" t="s">
        <v>286</v>
      </c>
      <c r="L343">
        <v>9029900009</v>
      </c>
      <c r="M343" s="2" t="s">
        <v>287</v>
      </c>
      <c r="N343" s="3" t="s">
        <v>288</v>
      </c>
      <c r="O343" s="1">
        <v>60</v>
      </c>
      <c r="P343" s="4">
        <v>27.19</v>
      </c>
      <c r="Q343" s="4">
        <v>130.8</v>
      </c>
      <c r="R343" s="4">
        <v>3.6</v>
      </c>
      <c r="S343" s="4">
        <v>29.43</v>
      </c>
      <c r="T343" s="5">
        <v>0.017</v>
      </c>
      <c r="U343" s="5">
        <v>1.02</v>
      </c>
      <c r="V343" s="5">
        <v>0.02</v>
      </c>
      <c r="W343" s="5">
        <v>1.2</v>
      </c>
      <c r="X343" s="4">
        <v>1765.8</v>
      </c>
    </row>
    <row r="344" ht="14.5" customHeight="1" spans="2:28">
      <c r="B344" s="6" t="str">
        <f t="shared" si="5"/>
        <v>43115-DT1EJ20250101-A-JIEU8015558-PARTS</v>
      </c>
      <c r="C344" t="s">
        <v>80</v>
      </c>
      <c r="D344" t="s">
        <v>81</v>
      </c>
      <c r="E344" t="s">
        <v>82</v>
      </c>
      <c r="F344" t="s">
        <v>83</v>
      </c>
      <c r="G344" s="1" t="s">
        <v>84</v>
      </c>
      <c r="I344" s="1" t="s">
        <v>85</v>
      </c>
      <c r="J344" s="1" t="s">
        <v>269</v>
      </c>
      <c r="K344" s="1" t="s">
        <v>289</v>
      </c>
      <c r="L344">
        <v>9027908000</v>
      </c>
      <c r="M344" s="2" t="s">
        <v>290</v>
      </c>
      <c r="N344" s="3" t="s">
        <v>291</v>
      </c>
      <c r="O344" s="1">
        <v>30</v>
      </c>
      <c r="P344" s="4">
        <v>171.3</v>
      </c>
      <c r="Q344" s="4">
        <v>411.9</v>
      </c>
      <c r="R344" s="4">
        <v>12</v>
      </c>
      <c r="S344" s="4">
        <v>185.43</v>
      </c>
      <c r="T344" s="5">
        <v>0.101</v>
      </c>
      <c r="U344" s="5">
        <v>3.03</v>
      </c>
      <c r="V344" s="5">
        <v>0.13</v>
      </c>
      <c r="W344" s="5">
        <v>3.9</v>
      </c>
      <c r="X344" s="4">
        <v>5562.9</v>
      </c>
    </row>
    <row r="345" ht="14.5" customHeight="1" spans="2:28">
      <c r="B345" s="6" t="str">
        <f t="shared" si="5"/>
        <v>43115-DT1EJ20250101-A-JIEU8015558-PARTS</v>
      </c>
      <c r="C345" t="s">
        <v>80</v>
      </c>
      <c r="D345" t="s">
        <v>81</v>
      </c>
      <c r="E345" t="s">
        <v>82</v>
      </c>
      <c r="F345" t="s">
        <v>83</v>
      </c>
      <c r="G345" s="1" t="s">
        <v>84</v>
      </c>
      <c r="I345" s="1" t="s">
        <v>85</v>
      </c>
      <c r="J345" s="1" t="s">
        <v>269</v>
      </c>
      <c r="K345" s="1" t="s">
        <v>289</v>
      </c>
      <c r="L345">
        <v>9027908000</v>
      </c>
      <c r="M345" s="2" t="s">
        <v>290</v>
      </c>
      <c r="N345" s="3" t="s">
        <v>291</v>
      </c>
      <c r="O345" s="1">
        <v>30</v>
      </c>
      <c r="P345" s="4">
        <v>171.3</v>
      </c>
      <c r="Q345" s="4">
        <v>411.9</v>
      </c>
      <c r="R345" s="4">
        <v>12</v>
      </c>
      <c r="S345" s="4">
        <v>185.43</v>
      </c>
      <c r="T345" s="5">
        <v>0.101</v>
      </c>
      <c r="U345" s="5">
        <v>3.03</v>
      </c>
      <c r="V345" s="5">
        <v>0.13</v>
      </c>
      <c r="W345" s="5">
        <v>3.9</v>
      </c>
      <c r="X345" s="4">
        <v>5562.9</v>
      </c>
    </row>
    <row r="346" ht="14.5" customHeight="1" spans="2:28">
      <c r="B346" s="6" t="str">
        <f t="shared" si="5"/>
        <v>43115-DT1EJ20250101-A-JIEU8015558-PARTS</v>
      </c>
      <c r="C346" t="s">
        <v>80</v>
      </c>
      <c r="D346" t="s">
        <v>81</v>
      </c>
      <c r="E346" t="s">
        <v>82</v>
      </c>
      <c r="F346" t="s">
        <v>83</v>
      </c>
      <c r="G346" s="1" t="s">
        <v>84</v>
      </c>
      <c r="I346" s="1" t="s">
        <v>85</v>
      </c>
      <c r="J346" s="1" t="s">
        <v>269</v>
      </c>
      <c r="K346" s="1" t="s">
        <v>289</v>
      </c>
      <c r="L346">
        <v>9027908000</v>
      </c>
      <c r="M346" s="2" t="s">
        <v>290</v>
      </c>
      <c r="N346" s="3" t="s">
        <v>291</v>
      </c>
      <c r="O346" s="1">
        <v>30</v>
      </c>
      <c r="P346" s="4">
        <v>171.3</v>
      </c>
      <c r="Q346" s="4">
        <v>411.9</v>
      </c>
      <c r="R346" s="4">
        <v>12</v>
      </c>
      <c r="S346" s="4">
        <v>185.43</v>
      </c>
      <c r="T346" s="5">
        <v>0.101</v>
      </c>
      <c r="U346" s="5">
        <v>3.03</v>
      </c>
      <c r="V346" s="5">
        <v>0.13</v>
      </c>
      <c r="W346" s="5">
        <v>3.9</v>
      </c>
      <c r="X346" s="4">
        <v>5562.9</v>
      </c>
    </row>
    <row r="347" ht="14.5" customHeight="1" spans="2:28">
      <c r="B347" s="6" t="str">
        <f t="shared" si="5"/>
        <v>43115-DT1EJ20250101-A-JIEU8015558-PARTS</v>
      </c>
      <c r="C347" t="s">
        <v>80</v>
      </c>
      <c r="D347" t="s">
        <v>81</v>
      </c>
      <c r="E347" t="s">
        <v>82</v>
      </c>
      <c r="F347" t="s">
        <v>83</v>
      </c>
      <c r="G347" s="1" t="s">
        <v>84</v>
      </c>
      <c r="I347" s="1" t="s">
        <v>85</v>
      </c>
      <c r="J347" s="1" t="s">
        <v>269</v>
      </c>
      <c r="K347" s="1" t="s">
        <v>289</v>
      </c>
      <c r="L347">
        <v>9027908000</v>
      </c>
      <c r="M347" s="2" t="s">
        <v>290</v>
      </c>
      <c r="N347" s="3" t="s">
        <v>291</v>
      </c>
      <c r="O347" s="1">
        <v>30</v>
      </c>
      <c r="P347" s="4">
        <v>171.3</v>
      </c>
      <c r="Q347" s="4">
        <v>411.9</v>
      </c>
      <c r="R347" s="4">
        <v>12</v>
      </c>
      <c r="S347" s="4">
        <v>185.43</v>
      </c>
      <c r="T347" s="5">
        <v>0.101</v>
      </c>
      <c r="U347" s="5">
        <v>3.03</v>
      </c>
      <c r="V347" s="5">
        <v>0.13</v>
      </c>
      <c r="W347" s="5">
        <v>3.9</v>
      </c>
      <c r="X347" s="4">
        <v>5562.9</v>
      </c>
    </row>
    <row r="348" ht="14.5" customHeight="1" spans="2:28">
      <c r="B348" s="6" t="str">
        <f t="shared" si="5"/>
        <v>43115-DT1EJ20250101-A-JIEU8015558-PARTS</v>
      </c>
      <c r="C348" t="s">
        <v>80</v>
      </c>
      <c r="D348" t="s">
        <v>81</v>
      </c>
      <c r="E348" t="s">
        <v>82</v>
      </c>
      <c r="F348" t="s">
        <v>83</v>
      </c>
      <c r="G348" s="1" t="s">
        <v>84</v>
      </c>
      <c r="I348" s="1" t="s">
        <v>85</v>
      </c>
      <c r="J348" s="1" t="s">
        <v>269</v>
      </c>
      <c r="K348" s="1" t="s">
        <v>292</v>
      </c>
      <c r="L348">
        <v>4016995709</v>
      </c>
      <c r="M348" s="2" t="s">
        <v>293</v>
      </c>
      <c r="N348" s="3" t="s">
        <v>294</v>
      </c>
      <c r="O348" s="1">
        <v>120</v>
      </c>
      <c r="P348" s="4">
        <v>2.43</v>
      </c>
      <c r="Q348" s="4">
        <v>22.8</v>
      </c>
      <c r="R348" s="4">
        <v>1.2</v>
      </c>
      <c r="S348" s="4">
        <v>2.63</v>
      </c>
      <c r="T348" s="5">
        <v>0.063</v>
      </c>
      <c r="U348" s="5">
        <v>7.56</v>
      </c>
      <c r="V348" s="5">
        <v>0.08</v>
      </c>
      <c r="W348" s="5">
        <v>9.6</v>
      </c>
      <c r="X348" s="4">
        <v>315.6</v>
      </c>
    </row>
    <row r="349" ht="14.5" customHeight="1" spans="2:28">
      <c r="B349" s="6" t="str">
        <f t="shared" si="5"/>
        <v>43115-DT1EJ20250101-A-JIEU8015558-PARTS</v>
      </c>
      <c r="C349" t="s">
        <v>80</v>
      </c>
      <c r="D349" t="s">
        <v>81</v>
      </c>
      <c r="E349" t="s">
        <v>82</v>
      </c>
      <c r="F349" t="s">
        <v>83</v>
      </c>
      <c r="G349" s="1" t="s">
        <v>84</v>
      </c>
      <c r="I349" s="1" t="s">
        <v>85</v>
      </c>
      <c r="J349" s="1" t="s">
        <v>269</v>
      </c>
      <c r="K349" s="1" t="s">
        <v>292</v>
      </c>
      <c r="L349">
        <v>4016995709</v>
      </c>
      <c r="M349" s="2" t="s">
        <v>293</v>
      </c>
      <c r="N349" s="3" t="s">
        <v>294</v>
      </c>
      <c r="O349" s="1">
        <v>120</v>
      </c>
      <c r="P349" s="4">
        <v>2.43</v>
      </c>
      <c r="Q349" s="4">
        <v>22.8</v>
      </c>
      <c r="R349" s="4">
        <v>1.2</v>
      </c>
      <c r="S349" s="4">
        <v>2.63</v>
      </c>
      <c r="T349" s="5">
        <v>0.063</v>
      </c>
      <c r="U349" s="5">
        <v>7.56</v>
      </c>
      <c r="V349" s="5">
        <v>0.08</v>
      </c>
      <c r="W349" s="5">
        <v>9.6</v>
      </c>
      <c r="X349" s="4">
        <v>315.6</v>
      </c>
    </row>
    <row r="350" ht="14.5" customHeight="1" spans="2:28">
      <c r="B350" s="6" t="str">
        <f t="shared" si="5"/>
        <v>43115-DT1EJ20250101-A-JIEU8015558-PARTS</v>
      </c>
      <c r="C350" t="s">
        <v>80</v>
      </c>
      <c r="D350" t="s">
        <v>81</v>
      </c>
      <c r="E350" t="s">
        <v>82</v>
      </c>
      <c r="F350" t="s">
        <v>83</v>
      </c>
      <c r="G350" s="1" t="s">
        <v>84</v>
      </c>
      <c r="I350" s="1" t="s">
        <v>85</v>
      </c>
      <c r="J350" s="1" t="s">
        <v>269</v>
      </c>
      <c r="K350" s="1" t="s">
        <v>295</v>
      </c>
      <c r="L350">
        <v>9027908000</v>
      </c>
      <c r="M350" s="2" t="s">
        <v>296</v>
      </c>
      <c r="N350" s="3" t="s">
        <v>291</v>
      </c>
      <c r="O350" s="1">
        <v>60</v>
      </c>
      <c r="P350" s="4">
        <v>96.52</v>
      </c>
      <c r="Q350" s="4">
        <v>464.4</v>
      </c>
      <c r="R350" s="4">
        <v>13.2</v>
      </c>
      <c r="S350" s="4">
        <v>104.48</v>
      </c>
      <c r="T350" s="5">
        <v>0.102</v>
      </c>
      <c r="U350" s="5">
        <v>6.12</v>
      </c>
      <c r="V350" s="5">
        <v>0.13</v>
      </c>
      <c r="W350" s="5">
        <v>7.8</v>
      </c>
      <c r="X350" s="4">
        <v>6268.8</v>
      </c>
    </row>
    <row r="351" ht="14.5" customHeight="1" spans="2:28">
      <c r="B351" s="6" t="str">
        <f t="shared" si="5"/>
        <v>43115-DT1EJ20250101-A-JIEU8015558-PARTS</v>
      </c>
      <c r="C351" t="s">
        <v>80</v>
      </c>
      <c r="D351" t="s">
        <v>81</v>
      </c>
      <c r="E351" t="s">
        <v>82</v>
      </c>
      <c r="F351" t="s">
        <v>83</v>
      </c>
      <c r="G351" s="1" t="s">
        <v>84</v>
      </c>
      <c r="I351" s="1" t="s">
        <v>85</v>
      </c>
      <c r="J351" s="1" t="s">
        <v>269</v>
      </c>
      <c r="K351" s="1" t="s">
        <v>295</v>
      </c>
      <c r="L351">
        <v>9027908000</v>
      </c>
      <c r="M351" s="2" t="s">
        <v>296</v>
      </c>
      <c r="N351" s="3" t="s">
        <v>291</v>
      </c>
      <c r="O351" s="1">
        <v>60</v>
      </c>
      <c r="P351" s="4">
        <v>96.52</v>
      </c>
      <c r="Q351" s="4">
        <v>464.4</v>
      </c>
      <c r="R351" s="4">
        <v>13.2</v>
      </c>
      <c r="S351" s="4">
        <v>104.48</v>
      </c>
      <c r="T351" s="5">
        <v>0.102</v>
      </c>
      <c r="U351" s="5">
        <v>6.12</v>
      </c>
      <c r="V351" s="5">
        <v>0.13</v>
      </c>
      <c r="W351" s="5">
        <v>7.8</v>
      </c>
      <c r="X351" s="4">
        <v>6268.8</v>
      </c>
    </row>
    <row r="352" ht="14.5" customHeight="1" spans="2:28">
      <c r="B352" s="6" t="str">
        <f t="shared" si="5"/>
        <v>43115-DT1EJ20250101-A-JIEU8015558-PARTS</v>
      </c>
      <c r="C352" t="s">
        <v>80</v>
      </c>
      <c r="D352" t="s">
        <v>81</v>
      </c>
      <c r="E352" t="s">
        <v>82</v>
      </c>
      <c r="F352" t="s">
        <v>83</v>
      </c>
      <c r="G352" s="1" t="s">
        <v>84</v>
      </c>
      <c r="I352" s="1" t="s">
        <v>85</v>
      </c>
      <c r="J352" s="1" t="s">
        <v>269</v>
      </c>
      <c r="K352" s="1" t="s">
        <v>297</v>
      </c>
      <c r="L352">
        <v>7318190008</v>
      </c>
      <c r="M352" s="2" t="s">
        <v>298</v>
      </c>
      <c r="N352" s="3" t="s">
        <v>299</v>
      </c>
      <c r="O352" s="1">
        <v>60</v>
      </c>
      <c r="P352" s="4">
        <v>2.37</v>
      </c>
      <c r="Q352" s="4">
        <v>11.4</v>
      </c>
      <c r="R352" s="4">
        <v>0.6</v>
      </c>
      <c r="S352" s="4">
        <v>2.57</v>
      </c>
      <c r="T352" s="5">
        <v>0.085</v>
      </c>
      <c r="U352" s="5">
        <v>5.1</v>
      </c>
      <c r="V352" s="5">
        <v>0.11</v>
      </c>
      <c r="W352" s="5">
        <v>6.6</v>
      </c>
      <c r="X352" s="4">
        <v>154.2</v>
      </c>
    </row>
    <row r="353" ht="14.5" customHeight="1" spans="2:28">
      <c r="B353" s="6" t="str">
        <f t="shared" si="5"/>
        <v>43115-DT1EJ20250101-A-JIEU8015558-PARTS</v>
      </c>
      <c r="C353" t="s">
        <v>80</v>
      </c>
      <c r="D353" t="s">
        <v>81</v>
      </c>
      <c r="E353" t="s">
        <v>82</v>
      </c>
      <c r="F353" t="s">
        <v>83</v>
      </c>
      <c r="G353" s="1" t="s">
        <v>84</v>
      </c>
      <c r="I353" s="1" t="s">
        <v>85</v>
      </c>
      <c r="J353" s="1" t="s">
        <v>269</v>
      </c>
      <c r="K353" s="1" t="s">
        <v>297</v>
      </c>
      <c r="L353">
        <v>7318190008</v>
      </c>
      <c r="M353" s="2" t="s">
        <v>298</v>
      </c>
      <c r="N353" s="3" t="s">
        <v>299</v>
      </c>
      <c r="O353" s="1">
        <v>60</v>
      </c>
      <c r="P353" s="4">
        <v>2.37</v>
      </c>
      <c r="Q353" s="4">
        <v>11.4</v>
      </c>
      <c r="R353" s="4">
        <v>0.6</v>
      </c>
      <c r="S353" s="4">
        <v>2.57</v>
      </c>
      <c r="T353" s="5">
        <v>0.085</v>
      </c>
      <c r="U353" s="5">
        <v>5.1</v>
      </c>
      <c r="V353" s="5">
        <v>0.11</v>
      </c>
      <c r="W353" s="5">
        <v>6.6</v>
      </c>
      <c r="X353" s="4">
        <v>154.2</v>
      </c>
    </row>
    <row r="354" ht="14.5" customHeight="1" spans="2:28">
      <c r="B354" s="6" t="str">
        <f t="shared" si="5"/>
        <v>43115-DT1EJ20250101-A-JIEU8015558-PARTS</v>
      </c>
      <c r="C354" t="s">
        <v>80</v>
      </c>
      <c r="D354" t="s">
        <v>81</v>
      </c>
      <c r="E354" t="s">
        <v>82</v>
      </c>
      <c r="F354" t="s">
        <v>83</v>
      </c>
      <c r="G354" s="1" t="s">
        <v>84</v>
      </c>
      <c r="I354" s="1" t="s">
        <v>85</v>
      </c>
      <c r="J354" s="1" t="s">
        <v>269</v>
      </c>
      <c r="K354" s="1" t="s">
        <v>300</v>
      </c>
      <c r="L354">
        <v>8302300009</v>
      </c>
      <c r="M354" s="2" t="s">
        <v>301</v>
      </c>
      <c r="N354" s="3" t="s">
        <v>302</v>
      </c>
      <c r="O354" s="1">
        <v>60</v>
      </c>
      <c r="P354" s="4">
        <v>2.28</v>
      </c>
      <c r="Q354" s="4">
        <v>10.8</v>
      </c>
      <c r="R354" s="4">
        <v>0.6</v>
      </c>
      <c r="S354" s="4">
        <v>2.47</v>
      </c>
      <c r="T354" s="5">
        <v>0.021</v>
      </c>
      <c r="U354" s="5">
        <v>1.26</v>
      </c>
      <c r="V354" s="5">
        <v>0.03</v>
      </c>
      <c r="W354" s="5">
        <v>1.8</v>
      </c>
      <c r="X354" s="4">
        <v>148.2</v>
      </c>
    </row>
    <row r="355" ht="14.5" customHeight="1" spans="2:28">
      <c r="B355" s="6" t="str">
        <f t="shared" si="5"/>
        <v>43115-DT1EJ20250101-A-JIEU8015558-PARTS</v>
      </c>
      <c r="C355" t="s">
        <v>80</v>
      </c>
      <c r="D355" t="s">
        <v>81</v>
      </c>
      <c r="E355" t="s">
        <v>82</v>
      </c>
      <c r="F355" t="s">
        <v>83</v>
      </c>
      <c r="G355" s="1" t="s">
        <v>84</v>
      </c>
      <c r="I355" s="1" t="s">
        <v>85</v>
      </c>
      <c r="J355" s="1" t="s">
        <v>269</v>
      </c>
      <c r="K355" s="1" t="s">
        <v>300</v>
      </c>
      <c r="L355">
        <v>8302300009</v>
      </c>
      <c r="M355" s="2" t="s">
        <v>301</v>
      </c>
      <c r="N355" s="3" t="s">
        <v>302</v>
      </c>
      <c r="O355" s="1">
        <v>60</v>
      </c>
      <c r="P355" s="4">
        <v>2.28</v>
      </c>
      <c r="Q355" s="4">
        <v>10.8</v>
      </c>
      <c r="R355" s="4">
        <v>0.6</v>
      </c>
      <c r="S355" s="4">
        <v>2.47</v>
      </c>
      <c r="T355" s="5">
        <v>0.021</v>
      </c>
      <c r="U355" s="5">
        <v>1.26</v>
      </c>
      <c r="V355" s="5">
        <v>0.03</v>
      </c>
      <c r="W355" s="5">
        <v>1.8</v>
      </c>
      <c r="X355" s="4">
        <v>148.2</v>
      </c>
    </row>
    <row r="356" ht="14.5" customHeight="1" spans="2:28">
      <c r="B356" s="6" t="str">
        <f t="shared" si="5"/>
        <v>43115-DT1EJ20250101-A-JIEU8015558-PARTS</v>
      </c>
      <c r="C356" t="s">
        <v>80</v>
      </c>
      <c r="D356" t="s">
        <v>81</v>
      </c>
      <c r="E356" t="s">
        <v>82</v>
      </c>
      <c r="F356" t="s">
        <v>83</v>
      </c>
      <c r="G356" s="1" t="s">
        <v>84</v>
      </c>
      <c r="I356" s="1" t="s">
        <v>85</v>
      </c>
      <c r="J356" s="1" t="s">
        <v>269</v>
      </c>
      <c r="K356" s="1" t="s">
        <v>303</v>
      </c>
      <c r="L356">
        <v>8708299009</v>
      </c>
      <c r="M356" s="2" t="s">
        <v>304</v>
      </c>
      <c r="N356" s="3" t="s">
        <v>305</v>
      </c>
      <c r="O356" s="1">
        <v>20</v>
      </c>
      <c r="P356" s="4">
        <v>10.88</v>
      </c>
      <c r="Q356" s="4">
        <v>17.4</v>
      </c>
      <c r="R356" s="4">
        <v>0.6</v>
      </c>
      <c r="S356" s="4">
        <v>11.78</v>
      </c>
      <c r="T356" s="5">
        <v>0.22</v>
      </c>
      <c r="U356" s="5">
        <v>4.4</v>
      </c>
      <c r="V356" s="5">
        <v>0.29</v>
      </c>
      <c r="W356" s="5">
        <v>5.8</v>
      </c>
      <c r="X356" s="4">
        <v>235.6</v>
      </c>
    </row>
    <row r="357" ht="14.5" customHeight="1" spans="2:28">
      <c r="B357" s="6" t="str">
        <f t="shared" si="5"/>
        <v>43115-DT1EJ20250101-A-JIEU8015558-PARTS</v>
      </c>
      <c r="C357" t="s">
        <v>80</v>
      </c>
      <c r="D357" t="s">
        <v>81</v>
      </c>
      <c r="E357" t="s">
        <v>82</v>
      </c>
      <c r="F357" t="s">
        <v>83</v>
      </c>
      <c r="G357" s="1" t="s">
        <v>84</v>
      </c>
      <c r="I357" s="1" t="s">
        <v>85</v>
      </c>
      <c r="J357" s="1" t="s">
        <v>269</v>
      </c>
      <c r="K357" s="1" t="s">
        <v>303</v>
      </c>
      <c r="L357">
        <v>8708299009</v>
      </c>
      <c r="M357" s="2" t="s">
        <v>304</v>
      </c>
      <c r="N357" s="3" t="s">
        <v>305</v>
      </c>
      <c r="O357" s="1">
        <v>20</v>
      </c>
      <c r="P357" s="4">
        <v>10.88</v>
      </c>
      <c r="Q357" s="4">
        <v>17.4</v>
      </c>
      <c r="R357" s="4">
        <v>0.6</v>
      </c>
      <c r="S357" s="4">
        <v>11.78</v>
      </c>
      <c r="T357" s="5">
        <v>0.22</v>
      </c>
      <c r="U357" s="5">
        <v>4.4</v>
      </c>
      <c r="V357" s="5">
        <v>0.29</v>
      </c>
      <c r="W357" s="5">
        <v>5.8</v>
      </c>
      <c r="X357" s="4">
        <v>235.6</v>
      </c>
    </row>
    <row r="358" ht="14.5" customHeight="1" spans="2:28">
      <c r="B358" s="6" t="str">
        <f t="shared" si="5"/>
        <v>43115-DT1EJ20250101-A-JIEU8015558-PARTS</v>
      </c>
      <c r="C358" t="s">
        <v>80</v>
      </c>
      <c r="D358" t="s">
        <v>81</v>
      </c>
      <c r="E358" t="s">
        <v>82</v>
      </c>
      <c r="F358" t="s">
        <v>83</v>
      </c>
      <c r="G358" s="1" t="s">
        <v>84</v>
      </c>
      <c r="I358" s="1" t="s">
        <v>85</v>
      </c>
      <c r="J358" s="1" t="s">
        <v>269</v>
      </c>
      <c r="K358" s="1" t="s">
        <v>303</v>
      </c>
      <c r="L358">
        <v>8708299009</v>
      </c>
      <c r="M358" s="2" t="s">
        <v>304</v>
      </c>
      <c r="N358" s="3" t="s">
        <v>305</v>
      </c>
      <c r="O358" s="1">
        <v>20</v>
      </c>
      <c r="P358" s="4">
        <v>10.88</v>
      </c>
      <c r="Q358" s="4">
        <v>17.4</v>
      </c>
      <c r="R358" s="4">
        <v>0.6</v>
      </c>
      <c r="S358" s="4">
        <v>11.78</v>
      </c>
      <c r="T358" s="5">
        <v>0.22</v>
      </c>
      <c r="U358" s="5">
        <v>4.4</v>
      </c>
      <c r="V358" s="5">
        <v>0.29</v>
      </c>
      <c r="W358" s="5">
        <v>5.8</v>
      </c>
      <c r="X358" s="4">
        <v>235.6</v>
      </c>
    </row>
    <row r="359" ht="14.5" customHeight="1" spans="2:28">
      <c r="B359" s="6" t="str">
        <f t="shared" si="5"/>
        <v>43115-DT1EJ20250101-A-JIEU8015558-PARTS</v>
      </c>
      <c r="C359" t="s">
        <v>80</v>
      </c>
      <c r="D359" t="s">
        <v>81</v>
      </c>
      <c r="E359" t="s">
        <v>82</v>
      </c>
      <c r="F359" t="s">
        <v>83</v>
      </c>
      <c r="G359" s="1" t="s">
        <v>84</v>
      </c>
      <c r="I359" s="1" t="s">
        <v>85</v>
      </c>
      <c r="J359" s="1" t="s">
        <v>269</v>
      </c>
      <c r="K359" s="1" t="s">
        <v>303</v>
      </c>
      <c r="L359">
        <v>8708299009</v>
      </c>
      <c r="M359" s="2" t="s">
        <v>304</v>
      </c>
      <c r="N359" s="3" t="s">
        <v>305</v>
      </c>
      <c r="O359" s="1">
        <v>20</v>
      </c>
      <c r="P359" s="4">
        <v>10.88</v>
      </c>
      <c r="Q359" s="4">
        <v>17.4</v>
      </c>
      <c r="R359" s="4">
        <v>0.6</v>
      </c>
      <c r="S359" s="4">
        <v>11.78</v>
      </c>
      <c r="T359" s="5">
        <v>0.22</v>
      </c>
      <c r="U359" s="5">
        <v>4.4</v>
      </c>
      <c r="V359" s="5">
        <v>0.29</v>
      </c>
      <c r="W359" s="5">
        <v>5.8</v>
      </c>
      <c r="X359" s="4">
        <v>235.6</v>
      </c>
    </row>
    <row r="360" ht="14.5" customHeight="1" spans="2:28">
      <c r="B360" s="6" t="str">
        <f t="shared" si="5"/>
        <v>43115-DT1EJ20250101-A-JIEU8015558-PARTS</v>
      </c>
      <c r="C360" s="29" t="s">
        <v>80</v>
      </c>
      <c r="D360" s="30" t="s">
        <v>81</v>
      </c>
      <c r="E360" s="30" t="s">
        <v>82</v>
      </c>
      <c r="F360" s="30" t="s">
        <v>83</v>
      </c>
      <c r="G360" s="31" t="s">
        <v>84</v>
      </c>
      <c r="H360" s="31"/>
      <c r="I360" s="31" t="s">
        <v>85</v>
      </c>
      <c r="J360" s="31" t="s">
        <v>269</v>
      </c>
      <c r="K360" s="31" t="s">
        <v>303</v>
      </c>
      <c r="L360" s="31">
        <v>8708299009</v>
      </c>
      <c r="M360" s="32" t="s">
        <v>304</v>
      </c>
      <c r="N360" s="33" t="s">
        <v>305</v>
      </c>
      <c r="O360" s="31">
        <v>20</v>
      </c>
      <c r="P360" s="34">
        <v>10.88</v>
      </c>
      <c r="Q360" s="34">
        <v>17.4</v>
      </c>
      <c r="R360" s="34">
        <v>0.6</v>
      </c>
      <c r="S360" s="34">
        <v>11.78</v>
      </c>
      <c r="T360" s="35">
        <v>0.22</v>
      </c>
      <c r="U360" s="35">
        <v>4.4</v>
      </c>
      <c r="V360" s="35">
        <v>0.29</v>
      </c>
      <c r="W360" s="35">
        <v>5.8</v>
      </c>
      <c r="X360" s="34">
        <v>235.6</v>
      </c>
      <c r="Y360" s="31"/>
      <c r="Z360" s="31"/>
      <c r="AA360" s="31"/>
      <c r="AB360" s="31"/>
    </row>
    <row r="361" ht="14.5" customHeight="1" spans="2:28">
      <c r="B361" s="6" t="str">
        <f t="shared" si="5"/>
        <v>43115-DT1EJ20250101-A-JIEU8015558-PARTS</v>
      </c>
      <c r="C361" s="29" t="s">
        <v>80</v>
      </c>
      <c r="D361" s="30" t="s">
        <v>81</v>
      </c>
      <c r="E361" s="30" t="s">
        <v>82</v>
      </c>
      <c r="F361" s="30" t="s">
        <v>83</v>
      </c>
      <c r="G361" s="31" t="s">
        <v>84</v>
      </c>
      <c r="H361" s="31"/>
      <c r="I361" s="31" t="s">
        <v>85</v>
      </c>
      <c r="J361" s="31" t="s">
        <v>269</v>
      </c>
      <c r="K361" s="31" t="s">
        <v>303</v>
      </c>
      <c r="L361" s="31">
        <v>8708299009</v>
      </c>
      <c r="M361" s="32" t="s">
        <v>304</v>
      </c>
      <c r="N361" s="33" t="s">
        <v>305</v>
      </c>
      <c r="O361" s="31">
        <v>20</v>
      </c>
      <c r="P361" s="34">
        <v>10.88</v>
      </c>
      <c r="Q361" s="34">
        <v>17.4</v>
      </c>
      <c r="R361" s="34">
        <v>0.6</v>
      </c>
      <c r="S361" s="34">
        <v>11.78</v>
      </c>
      <c r="T361" s="35">
        <v>0.22</v>
      </c>
      <c r="U361" s="35">
        <v>4.4</v>
      </c>
      <c r="V361" s="35">
        <v>0.29</v>
      </c>
      <c r="W361" s="35">
        <v>5.8</v>
      </c>
      <c r="X361" s="34">
        <v>235.6</v>
      </c>
      <c r="Y361" s="31"/>
      <c r="Z361" s="31"/>
      <c r="AA361" s="31"/>
      <c r="AB361" s="31"/>
    </row>
    <row r="362" ht="14.5" customHeight="1" spans="2:28">
      <c r="B362" s="6" t="str">
        <f t="shared" si="5"/>
        <v>43115-DT1EJ20250101-A-JIEU8015558-PARTS</v>
      </c>
      <c r="C362" s="29" t="s">
        <v>80</v>
      </c>
      <c r="D362" s="30" t="s">
        <v>81</v>
      </c>
      <c r="E362" s="30" t="s">
        <v>82</v>
      </c>
      <c r="F362" s="30" t="s">
        <v>83</v>
      </c>
      <c r="G362" s="31" t="s">
        <v>84</v>
      </c>
      <c r="H362" s="31"/>
      <c r="I362" s="31" t="s">
        <v>85</v>
      </c>
      <c r="J362" s="31" t="s">
        <v>269</v>
      </c>
      <c r="K362" s="31" t="s">
        <v>306</v>
      </c>
      <c r="L362" s="31">
        <v>8708299009</v>
      </c>
      <c r="M362" s="32" t="s">
        <v>307</v>
      </c>
      <c r="N362" s="33" t="s">
        <v>308</v>
      </c>
      <c r="O362" s="31">
        <v>20</v>
      </c>
      <c r="P362" s="34">
        <v>10.88</v>
      </c>
      <c r="Q362" s="34">
        <v>17.4</v>
      </c>
      <c r="R362" s="34">
        <v>0.6</v>
      </c>
      <c r="S362" s="34">
        <v>11.78</v>
      </c>
      <c r="T362" s="35">
        <v>0.251</v>
      </c>
      <c r="U362" s="35">
        <v>5.02</v>
      </c>
      <c r="V362" s="35">
        <v>0.33</v>
      </c>
      <c r="W362" s="35">
        <v>6.6</v>
      </c>
      <c r="X362" s="34">
        <v>235.6</v>
      </c>
      <c r="Y362" s="31"/>
      <c r="Z362" s="31"/>
      <c r="AA362" s="31"/>
      <c r="AB362" s="31"/>
    </row>
    <row r="363" ht="14.5" customHeight="1" spans="2:28">
      <c r="B363" s="6" t="str">
        <f t="shared" si="5"/>
        <v>43115-DT1EJ20250101-A-JIEU8015558-PARTS</v>
      </c>
      <c r="C363" s="29" t="s">
        <v>80</v>
      </c>
      <c r="D363" s="30" t="s">
        <v>81</v>
      </c>
      <c r="E363" s="30" t="s">
        <v>82</v>
      </c>
      <c r="F363" s="30" t="s">
        <v>83</v>
      </c>
      <c r="G363" s="31" t="s">
        <v>84</v>
      </c>
      <c r="H363" s="31"/>
      <c r="I363" s="31" t="s">
        <v>85</v>
      </c>
      <c r="J363" s="31" t="s">
        <v>269</v>
      </c>
      <c r="K363" s="31" t="s">
        <v>306</v>
      </c>
      <c r="L363" s="31">
        <v>8708299009</v>
      </c>
      <c r="M363" s="32" t="s">
        <v>307</v>
      </c>
      <c r="N363" s="33" t="s">
        <v>308</v>
      </c>
      <c r="O363" s="31">
        <v>20</v>
      </c>
      <c r="P363" s="34">
        <v>10.88</v>
      </c>
      <c r="Q363" s="34">
        <v>17.4</v>
      </c>
      <c r="R363" s="34">
        <v>0.6</v>
      </c>
      <c r="S363" s="34">
        <v>11.78</v>
      </c>
      <c r="T363" s="35">
        <v>0.251</v>
      </c>
      <c r="U363" s="35">
        <v>5.02</v>
      </c>
      <c r="V363" s="35">
        <v>0.33</v>
      </c>
      <c r="W363" s="35">
        <v>6.6</v>
      </c>
      <c r="X363" s="34">
        <v>235.6</v>
      </c>
      <c r="Y363" s="31"/>
      <c r="Z363" s="31"/>
      <c r="AA363" s="31"/>
      <c r="AB363" s="31"/>
    </row>
    <row r="364" ht="14.5" customHeight="1" spans="2:28">
      <c r="B364" s="6" t="str">
        <f t="shared" si="5"/>
        <v>43115-DT1EJ20250101-A-JIEU8015558-PARTS</v>
      </c>
      <c r="C364" t="s">
        <v>80</v>
      </c>
      <c r="D364" t="s">
        <v>81</v>
      </c>
      <c r="E364" t="s">
        <v>82</v>
      </c>
      <c r="F364" t="s">
        <v>83</v>
      </c>
      <c r="G364" s="1" t="s">
        <v>84</v>
      </c>
      <c r="I364" s="1" t="s">
        <v>85</v>
      </c>
      <c r="J364" s="1" t="s">
        <v>269</v>
      </c>
      <c r="K364" s="1" t="s">
        <v>306</v>
      </c>
      <c r="L364">
        <v>8708299009</v>
      </c>
      <c r="M364" s="2" t="s">
        <v>307</v>
      </c>
      <c r="N364" s="3" t="s">
        <v>308</v>
      </c>
      <c r="O364" s="1">
        <v>20</v>
      </c>
      <c r="P364" s="4">
        <v>10.88</v>
      </c>
      <c r="Q364" s="4">
        <v>17.4</v>
      </c>
      <c r="R364" s="4">
        <v>0.6</v>
      </c>
      <c r="S364" s="4">
        <v>11.78</v>
      </c>
      <c r="T364" s="5">
        <v>0.251</v>
      </c>
      <c r="U364" s="5">
        <v>5.02</v>
      </c>
      <c r="V364" s="5">
        <v>0.33</v>
      </c>
      <c r="W364" s="5">
        <v>6.6</v>
      </c>
      <c r="X364" s="4">
        <v>235.6</v>
      </c>
    </row>
    <row r="365" ht="14.5" customHeight="1" spans="2:28">
      <c r="B365" s="6" t="str">
        <f t="shared" si="5"/>
        <v>43115-DT1EJ20250101-A-JIEU8015558-PARTS</v>
      </c>
      <c r="C365" t="s">
        <v>80</v>
      </c>
      <c r="D365" t="s">
        <v>81</v>
      </c>
      <c r="E365" t="s">
        <v>82</v>
      </c>
      <c r="F365" t="s">
        <v>83</v>
      </c>
      <c r="G365" s="1" t="s">
        <v>84</v>
      </c>
      <c r="I365" s="1" t="s">
        <v>85</v>
      </c>
      <c r="J365" s="1" t="s">
        <v>269</v>
      </c>
      <c r="K365" s="1" t="s">
        <v>306</v>
      </c>
      <c r="L365">
        <v>8708299009</v>
      </c>
      <c r="M365" s="2" t="s">
        <v>307</v>
      </c>
      <c r="N365" s="3" t="s">
        <v>308</v>
      </c>
      <c r="O365" s="1">
        <v>20</v>
      </c>
      <c r="P365" s="4">
        <v>10.88</v>
      </c>
      <c r="Q365" s="4">
        <v>17.4</v>
      </c>
      <c r="R365" s="4">
        <v>0.6</v>
      </c>
      <c r="S365" s="4">
        <v>11.78</v>
      </c>
      <c r="T365" s="5">
        <v>0.251</v>
      </c>
      <c r="U365" s="5">
        <v>5.02</v>
      </c>
      <c r="V365" s="5">
        <v>0.33</v>
      </c>
      <c r="W365" s="5">
        <v>6.6</v>
      </c>
      <c r="X365" s="4">
        <v>235.6</v>
      </c>
    </row>
    <row r="366" ht="14.5" customHeight="1" spans="2:28">
      <c r="B366" s="6" t="str">
        <f t="shared" si="5"/>
        <v>43115-DT1EJ20250101-A-JIEU8015558-PARTS</v>
      </c>
      <c r="C366" t="s">
        <v>80</v>
      </c>
      <c r="D366" t="s">
        <v>81</v>
      </c>
      <c r="E366" t="s">
        <v>82</v>
      </c>
      <c r="F366" t="s">
        <v>83</v>
      </c>
      <c r="G366" s="1" t="s">
        <v>84</v>
      </c>
      <c r="I366" s="1" t="s">
        <v>85</v>
      </c>
      <c r="J366" s="1" t="s">
        <v>269</v>
      </c>
      <c r="K366" s="1" t="s">
        <v>306</v>
      </c>
      <c r="L366">
        <v>8708299009</v>
      </c>
      <c r="M366" s="2" t="s">
        <v>307</v>
      </c>
      <c r="N366" s="3" t="s">
        <v>308</v>
      </c>
      <c r="O366" s="1">
        <v>20</v>
      </c>
      <c r="P366" s="4">
        <v>10.88</v>
      </c>
      <c r="Q366" s="4">
        <v>17.4</v>
      </c>
      <c r="R366" s="4">
        <v>0.6</v>
      </c>
      <c r="S366" s="4">
        <v>11.78</v>
      </c>
      <c r="T366" s="5">
        <v>0.251</v>
      </c>
      <c r="U366" s="5">
        <v>5.02</v>
      </c>
      <c r="V366" s="5">
        <v>0.33</v>
      </c>
      <c r="W366" s="5">
        <v>6.6</v>
      </c>
      <c r="X366" s="4">
        <v>235.6</v>
      </c>
    </row>
    <row r="367" ht="14.5" customHeight="1" spans="2:28">
      <c r="B367" s="6" t="str">
        <f t="shared" si="5"/>
        <v>43115-DT1EJ20250101-A-JIEU8015558-PARTS</v>
      </c>
      <c r="C367" t="s">
        <v>80</v>
      </c>
      <c r="D367" t="s">
        <v>81</v>
      </c>
      <c r="E367" t="s">
        <v>82</v>
      </c>
      <c r="F367" t="s">
        <v>83</v>
      </c>
      <c r="G367" s="1" t="s">
        <v>84</v>
      </c>
      <c r="I367" s="1" t="s">
        <v>85</v>
      </c>
      <c r="J367" s="1" t="s">
        <v>269</v>
      </c>
      <c r="K367" s="1" t="s">
        <v>306</v>
      </c>
      <c r="L367">
        <v>8708299009</v>
      </c>
      <c r="M367" s="2" t="s">
        <v>307</v>
      </c>
      <c r="N367" s="3" t="s">
        <v>308</v>
      </c>
      <c r="O367" s="1">
        <v>20</v>
      </c>
      <c r="P367" s="4">
        <v>10.88</v>
      </c>
      <c r="Q367" s="4">
        <v>17.4</v>
      </c>
      <c r="R367" s="4">
        <v>0.6</v>
      </c>
      <c r="S367" s="4">
        <v>11.78</v>
      </c>
      <c r="T367" s="5">
        <v>0.251</v>
      </c>
      <c r="U367" s="5">
        <v>5.02</v>
      </c>
      <c r="V367" s="5">
        <v>0.33</v>
      </c>
      <c r="W367" s="5">
        <v>6.6</v>
      </c>
      <c r="X367" s="4">
        <v>235.6</v>
      </c>
    </row>
    <row r="368" ht="14.5" customHeight="1" spans="2:28">
      <c r="B368" s="6" t="str">
        <f t="shared" si="5"/>
        <v>43115-DT1EJ20250101-A-JIEU8015558-PARTS</v>
      </c>
      <c r="C368" s="29" t="s">
        <v>80</v>
      </c>
      <c r="D368" s="30" t="s">
        <v>81</v>
      </c>
      <c r="E368" s="30" t="s">
        <v>82</v>
      </c>
      <c r="F368" s="30" t="s">
        <v>83</v>
      </c>
      <c r="G368" s="31" t="s">
        <v>84</v>
      </c>
      <c r="H368" s="31"/>
      <c r="I368" s="31" t="s">
        <v>85</v>
      </c>
      <c r="J368" s="31" t="s">
        <v>269</v>
      </c>
      <c r="K368" s="31" t="s">
        <v>309</v>
      </c>
      <c r="L368" s="31">
        <v>3926300000</v>
      </c>
      <c r="M368" s="32" t="s">
        <v>310</v>
      </c>
      <c r="N368" s="33" t="s">
        <v>311</v>
      </c>
      <c r="O368" s="31">
        <v>2160</v>
      </c>
      <c r="P368" s="34">
        <v>0.19</v>
      </c>
      <c r="Q368" s="34">
        <v>43.2</v>
      </c>
      <c r="R368" s="34">
        <v>21.6</v>
      </c>
      <c r="S368" s="34">
        <v>0.22</v>
      </c>
      <c r="T368" s="35">
        <v>0.001</v>
      </c>
      <c r="U368" s="35">
        <v>2.16</v>
      </c>
      <c r="V368" s="35">
        <v>0.002</v>
      </c>
      <c r="W368" s="35">
        <v>4.32</v>
      </c>
      <c r="X368" s="34">
        <v>475.2</v>
      </c>
      <c r="Y368" s="31"/>
      <c r="Z368" s="31"/>
      <c r="AA368" s="31"/>
      <c r="AB368" s="31"/>
    </row>
    <row r="369" ht="14.5" customHeight="1" spans="1:28">
      <c r="B369" s="6" t="str">
        <f t="shared" si="5"/>
        <v>43115-DT1EJ20250101-A-JIEU8015558-PARTS</v>
      </c>
      <c r="C369" s="29" t="s">
        <v>80</v>
      </c>
      <c r="D369" s="30" t="s">
        <v>81</v>
      </c>
      <c r="E369" s="30" t="s">
        <v>82</v>
      </c>
      <c r="F369" s="30" t="s">
        <v>83</v>
      </c>
      <c r="G369" s="31" t="s">
        <v>84</v>
      </c>
      <c r="H369" s="31"/>
      <c r="I369" s="31" t="s">
        <v>85</v>
      </c>
      <c r="J369" s="31" t="s">
        <v>312</v>
      </c>
      <c r="K369" s="31" t="s">
        <v>313</v>
      </c>
      <c r="L369" s="31">
        <v>8544300007</v>
      </c>
      <c r="M369" s="32" t="s">
        <v>314</v>
      </c>
      <c r="N369" s="33" t="s">
        <v>315</v>
      </c>
      <c r="O369" s="31">
        <v>6</v>
      </c>
      <c r="P369" s="34">
        <v>344.6</v>
      </c>
      <c r="Q369" s="34">
        <v>165.72</v>
      </c>
      <c r="R369" s="34">
        <v>4.74</v>
      </c>
      <c r="S369" s="34">
        <v>373.01</v>
      </c>
      <c r="T369" s="35">
        <v>1.363</v>
      </c>
      <c r="U369" s="35">
        <v>8.178</v>
      </c>
      <c r="V369" s="35">
        <v>1.66</v>
      </c>
      <c r="W369" s="35">
        <v>9.96</v>
      </c>
      <c r="X369" s="34">
        <v>2238.06</v>
      </c>
      <c r="Y369" s="31">
        <v>2280</v>
      </c>
      <c r="Z369" s="31">
        <v>1480</v>
      </c>
      <c r="AA369" s="31">
        <v>1280</v>
      </c>
      <c r="AB369" s="31">
        <v>4.32</v>
      </c>
    </row>
    <row r="370" ht="14.5" customHeight="1" spans="1:28">
      <c r="B370" s="6" t="str">
        <f t="shared" si="5"/>
        <v>43115-DT1EJ20250101-A-JIEU8015558-PARTS</v>
      </c>
      <c r="C370" s="29" t="s">
        <v>80</v>
      </c>
      <c r="D370" s="30" t="s">
        <v>81</v>
      </c>
      <c r="E370" s="30" t="s">
        <v>82</v>
      </c>
      <c r="F370" s="30" t="s">
        <v>83</v>
      </c>
      <c r="G370" s="31" t="s">
        <v>84</v>
      </c>
      <c r="H370" s="31"/>
      <c r="I370" s="31" t="s">
        <v>85</v>
      </c>
      <c r="J370" s="31" t="s">
        <v>312</v>
      </c>
      <c r="K370" s="31" t="s">
        <v>313</v>
      </c>
      <c r="L370" s="31">
        <v>8544300007</v>
      </c>
      <c r="M370" s="32" t="s">
        <v>314</v>
      </c>
      <c r="N370" s="33" t="s">
        <v>315</v>
      </c>
      <c r="O370" s="31">
        <v>6</v>
      </c>
      <c r="P370" s="34">
        <v>344.6</v>
      </c>
      <c r="Q370" s="34">
        <v>165.72</v>
      </c>
      <c r="R370" s="34">
        <v>4.74</v>
      </c>
      <c r="S370" s="34">
        <v>373.01</v>
      </c>
      <c r="T370" s="35">
        <v>1.363</v>
      </c>
      <c r="U370" s="35">
        <v>8.178</v>
      </c>
      <c r="V370" s="35">
        <v>1.66</v>
      </c>
      <c r="W370" s="35">
        <v>9.96</v>
      </c>
      <c r="X370" s="34">
        <v>2238.06</v>
      </c>
      <c r="Y370" s="31"/>
      <c r="Z370" s="31"/>
      <c r="AA370" s="31"/>
      <c r="AB370" s="31"/>
    </row>
    <row r="371" ht="14.5" customHeight="1" spans="1:28">
      <c r="B371" s="6" t="str">
        <f t="shared" si="5"/>
        <v>43115-DT1EJ20250101-A-JIEU8015558-PARTS</v>
      </c>
      <c r="C371" s="29" t="s">
        <v>80</v>
      </c>
      <c r="D371" s="30" t="s">
        <v>81</v>
      </c>
      <c r="E371" s="30" t="s">
        <v>82</v>
      </c>
      <c r="F371" s="30" t="s">
        <v>83</v>
      </c>
      <c r="G371" s="31" t="s">
        <v>84</v>
      </c>
      <c r="H371" s="31"/>
      <c r="I371" s="31" t="s">
        <v>85</v>
      </c>
      <c r="J371" s="31" t="s">
        <v>312</v>
      </c>
      <c r="K371" s="31" t="s">
        <v>313</v>
      </c>
      <c r="L371" s="31">
        <v>8544300007</v>
      </c>
      <c r="M371" s="32" t="s">
        <v>314</v>
      </c>
      <c r="N371" s="33" t="s">
        <v>315</v>
      </c>
      <c r="O371" s="31">
        <v>6</v>
      </c>
      <c r="P371" s="34">
        <v>344.6</v>
      </c>
      <c r="Q371" s="34">
        <v>165.72</v>
      </c>
      <c r="R371" s="34">
        <v>4.74</v>
      </c>
      <c r="S371" s="34">
        <v>373.01</v>
      </c>
      <c r="T371" s="35">
        <v>1.363</v>
      </c>
      <c r="U371" s="35">
        <v>8.178</v>
      </c>
      <c r="V371" s="35">
        <v>1.66</v>
      </c>
      <c r="W371" s="35">
        <v>9.96</v>
      </c>
      <c r="X371" s="34">
        <v>2238.06</v>
      </c>
      <c r="Y371" s="31"/>
      <c r="Z371" s="31"/>
      <c r="AA371" s="31"/>
      <c r="AB371" s="31"/>
    </row>
    <row r="372" ht="14.5" customHeight="1" spans="1:28">
      <c r="B372" s="6" t="str">
        <f t="shared" si="5"/>
        <v>43115-DT1EJ20250101-A-JIEU8015558-PARTS</v>
      </c>
      <c r="C372" s="29" t="s">
        <v>80</v>
      </c>
      <c r="D372" s="30" t="s">
        <v>81</v>
      </c>
      <c r="E372" s="30" t="s">
        <v>82</v>
      </c>
      <c r="F372" s="30" t="s">
        <v>83</v>
      </c>
      <c r="G372" s="31" t="s">
        <v>84</v>
      </c>
      <c r="H372" s="31"/>
      <c r="I372" s="31" t="s">
        <v>85</v>
      </c>
      <c r="J372" s="31" t="s">
        <v>312</v>
      </c>
      <c r="K372" s="31" t="s">
        <v>313</v>
      </c>
      <c r="L372" s="31">
        <v>8544300007</v>
      </c>
      <c r="M372" s="32" t="s">
        <v>314</v>
      </c>
      <c r="N372" s="33" t="s">
        <v>315</v>
      </c>
      <c r="O372" s="31">
        <v>6</v>
      </c>
      <c r="P372" s="34">
        <v>344.6</v>
      </c>
      <c r="Q372" s="34">
        <v>165.72</v>
      </c>
      <c r="R372" s="34">
        <v>4.74</v>
      </c>
      <c r="S372" s="34">
        <v>373.01</v>
      </c>
      <c r="T372" s="35">
        <v>1.363</v>
      </c>
      <c r="U372" s="35">
        <v>8.178</v>
      </c>
      <c r="V372" s="35">
        <v>1.66</v>
      </c>
      <c r="W372" s="35">
        <v>9.96</v>
      </c>
      <c r="X372" s="34">
        <v>2238.06</v>
      </c>
      <c r="Y372" s="31"/>
      <c r="Z372" s="31"/>
      <c r="AA372" s="31"/>
      <c r="AB372" s="31"/>
    </row>
    <row r="373" ht="14.5" customHeight="1" spans="1:28">
      <c r="A373" s="6" t="s">
        <v>316</v>
      </c>
      <c r="B373" s="6" t="str">
        <f t="shared" si="5"/>
        <v>43115-DT1EJ20250101-A-JIEU8015558-PARTS</v>
      </c>
      <c r="C373" s="29" t="s">
        <v>80</v>
      </c>
      <c r="D373" s="30" t="s">
        <v>81</v>
      </c>
      <c r="E373" s="30" t="s">
        <v>82</v>
      </c>
      <c r="F373" s="30" t="s">
        <v>83</v>
      </c>
      <c r="G373" s="31" t="s">
        <v>84</v>
      </c>
      <c r="H373" s="31"/>
      <c r="I373" s="31" t="s">
        <v>85</v>
      </c>
      <c r="J373" s="31" t="s">
        <v>312</v>
      </c>
      <c r="K373" s="31" t="s">
        <v>317</v>
      </c>
      <c r="L373" s="31">
        <v>8544300007</v>
      </c>
      <c r="M373" s="32" t="s">
        <v>318</v>
      </c>
      <c r="N373" s="33" t="s">
        <v>319</v>
      </c>
      <c r="O373" s="31">
        <v>10</v>
      </c>
      <c r="P373" s="34">
        <v>206.26</v>
      </c>
      <c r="Q373" s="34">
        <v>165.3</v>
      </c>
      <c r="R373" s="34">
        <v>4.8</v>
      </c>
      <c r="S373" s="34">
        <v>223.27</v>
      </c>
      <c r="T373" s="35">
        <v>1.158</v>
      </c>
      <c r="U373" s="35">
        <v>11.58</v>
      </c>
      <c r="V373" s="35">
        <v>1.41</v>
      </c>
      <c r="W373" s="35">
        <v>14.1</v>
      </c>
      <c r="X373" s="34">
        <v>2232.7</v>
      </c>
      <c r="Y373" s="31"/>
      <c r="Z373" s="31"/>
      <c r="AA373" s="31"/>
      <c r="AB373" s="31"/>
    </row>
    <row r="374" ht="14.5" customHeight="1" spans="1:28">
      <c r="A374" s="6" t="s">
        <v>320</v>
      </c>
      <c r="B374" s="6" t="str">
        <f t="shared" si="5"/>
        <v>43115-DT1EJ20250101-A-JIEU8015558-PARTS</v>
      </c>
      <c r="C374" s="29" t="s">
        <v>80</v>
      </c>
      <c r="D374" s="30" t="s">
        <v>81</v>
      </c>
      <c r="E374" s="30" t="s">
        <v>82</v>
      </c>
      <c r="F374" s="30" t="s">
        <v>83</v>
      </c>
      <c r="G374" s="31" t="s">
        <v>84</v>
      </c>
      <c r="H374" s="31"/>
      <c r="I374" s="31" t="s">
        <v>85</v>
      </c>
      <c r="J374" s="31" t="s">
        <v>312</v>
      </c>
      <c r="K374" s="31" t="s">
        <v>317</v>
      </c>
      <c r="L374" s="31">
        <v>8544300007</v>
      </c>
      <c r="M374" s="32" t="s">
        <v>318</v>
      </c>
      <c r="N374" s="33" t="s">
        <v>319</v>
      </c>
      <c r="O374" s="31">
        <v>10</v>
      </c>
      <c r="P374" s="34">
        <v>206.26</v>
      </c>
      <c r="Q374" s="34">
        <v>165.3</v>
      </c>
      <c r="R374" s="34">
        <v>4.8</v>
      </c>
      <c r="S374" s="34">
        <v>223.27</v>
      </c>
      <c r="T374" s="35">
        <v>1.158</v>
      </c>
      <c r="U374" s="35">
        <v>11.58</v>
      </c>
      <c r="V374" s="35">
        <v>1.41</v>
      </c>
      <c r="W374" s="35">
        <v>14.1</v>
      </c>
      <c r="X374" s="34">
        <v>2232.7</v>
      </c>
      <c r="Y374" s="31"/>
      <c r="Z374" s="31"/>
      <c r="AA374" s="31"/>
      <c r="AB374" s="31"/>
    </row>
    <row r="375" ht="14.5" customHeight="1" spans="1:28">
      <c r="B375" s="6" t="str">
        <f t="shared" si="5"/>
        <v>43115-DT1EJ20250101-A-JIEU8015558-PARTS</v>
      </c>
      <c r="C375" s="29" t="s">
        <v>80</v>
      </c>
      <c r="D375" s="30" t="s">
        <v>81</v>
      </c>
      <c r="E375" s="30" t="s">
        <v>82</v>
      </c>
      <c r="F375" s="30" t="s">
        <v>83</v>
      </c>
      <c r="G375" s="31" t="s">
        <v>84</v>
      </c>
      <c r="H375" s="31"/>
      <c r="I375" s="31" t="s">
        <v>85</v>
      </c>
      <c r="J375" s="31" t="s">
        <v>312</v>
      </c>
      <c r="K375" s="31" t="s">
        <v>317</v>
      </c>
      <c r="L375" s="31">
        <v>8544300007</v>
      </c>
      <c r="M375" s="32" t="s">
        <v>318</v>
      </c>
      <c r="N375" s="33" t="s">
        <v>319</v>
      </c>
      <c r="O375" s="31">
        <v>10</v>
      </c>
      <c r="P375" s="34">
        <v>206.26</v>
      </c>
      <c r="Q375" s="34">
        <v>165.3</v>
      </c>
      <c r="R375" s="34">
        <v>4.8</v>
      </c>
      <c r="S375" s="34">
        <v>223.27</v>
      </c>
      <c r="T375" s="35">
        <v>1.158</v>
      </c>
      <c r="U375" s="35">
        <v>11.58</v>
      </c>
      <c r="V375" s="35">
        <v>1.41</v>
      </c>
      <c r="W375" s="35">
        <v>14.1</v>
      </c>
      <c r="X375" s="34">
        <v>2232.7</v>
      </c>
      <c r="Y375" s="31"/>
      <c r="Z375" s="31"/>
      <c r="AA375" s="31"/>
      <c r="AB375" s="31"/>
    </row>
    <row r="376" ht="14.5" customHeight="1" spans="1:28">
      <c r="B376" s="6" t="str">
        <f t="shared" si="5"/>
        <v>43115-DT1EJ20250101-A-JIEU8015558-PARTS</v>
      </c>
      <c r="C376" t="s">
        <v>80</v>
      </c>
      <c r="D376" t="s">
        <v>81</v>
      </c>
      <c r="E376" t="s">
        <v>82</v>
      </c>
      <c r="F376" t="s">
        <v>83</v>
      </c>
      <c r="G376" s="1" t="s">
        <v>84</v>
      </c>
      <c r="I376" s="1" t="s">
        <v>85</v>
      </c>
      <c r="J376" s="1" t="s">
        <v>312</v>
      </c>
      <c r="K376" s="1" t="s">
        <v>317</v>
      </c>
      <c r="L376">
        <v>8544300007</v>
      </c>
      <c r="M376" s="2" t="s">
        <v>318</v>
      </c>
      <c r="N376" s="3" t="s">
        <v>319</v>
      </c>
      <c r="O376" s="1">
        <v>10</v>
      </c>
      <c r="P376" s="4">
        <v>206.26</v>
      </c>
      <c r="Q376" s="4">
        <v>165.3</v>
      </c>
      <c r="R376" s="4">
        <v>4.8</v>
      </c>
      <c r="S376" s="4">
        <v>223.27</v>
      </c>
      <c r="T376" s="5">
        <v>1.158</v>
      </c>
      <c r="U376" s="5">
        <v>11.58</v>
      </c>
      <c r="V376" s="5">
        <v>1.41</v>
      </c>
      <c r="W376" s="5">
        <v>14.1</v>
      </c>
      <c r="X376" s="4">
        <v>2232.7</v>
      </c>
    </row>
    <row r="377" ht="14.5" customHeight="1" spans="1:28">
      <c r="B377" s="6" t="str">
        <f t="shared" si="5"/>
        <v>43115-DT1EJ20250101-A-JIEU8015558-PARTS</v>
      </c>
      <c r="C377" t="s">
        <v>80</v>
      </c>
      <c r="D377" t="s">
        <v>81</v>
      </c>
      <c r="E377" t="s">
        <v>82</v>
      </c>
      <c r="F377" t="s">
        <v>83</v>
      </c>
      <c r="G377" s="1" t="s">
        <v>84</v>
      </c>
      <c r="I377" s="1" t="s">
        <v>85</v>
      </c>
      <c r="J377" s="1" t="s">
        <v>312</v>
      </c>
      <c r="K377" s="1" t="s">
        <v>317</v>
      </c>
      <c r="L377">
        <v>8544300007</v>
      </c>
      <c r="M377" s="2" t="s">
        <v>318</v>
      </c>
      <c r="N377" s="3" t="s">
        <v>319</v>
      </c>
      <c r="O377" s="1">
        <v>10</v>
      </c>
      <c r="P377" s="4">
        <v>206.26</v>
      </c>
      <c r="Q377" s="4">
        <v>165.3</v>
      </c>
      <c r="R377" s="4">
        <v>4.8</v>
      </c>
      <c r="S377" s="4">
        <v>223.27</v>
      </c>
      <c r="T377" s="5">
        <v>1.158</v>
      </c>
      <c r="U377" s="5">
        <v>11.58</v>
      </c>
      <c r="V377" s="5">
        <v>1.41</v>
      </c>
      <c r="W377" s="5">
        <v>14.1</v>
      </c>
      <c r="X377" s="4">
        <v>2232.7</v>
      </c>
    </row>
    <row r="378" ht="14.5" customHeight="1" spans="1:28">
      <c r="B378" s="6" t="str">
        <f t="shared" si="5"/>
        <v>43115-DT1EJ20250101-A-JIEU8015558-PARTS</v>
      </c>
      <c r="C378" t="s">
        <v>80</v>
      </c>
      <c r="D378" t="s">
        <v>81</v>
      </c>
      <c r="E378" t="s">
        <v>82</v>
      </c>
      <c r="F378" t="s">
        <v>83</v>
      </c>
      <c r="G378" s="1" t="s">
        <v>84</v>
      </c>
      <c r="I378" s="1" t="s">
        <v>85</v>
      </c>
      <c r="J378" s="1" t="s">
        <v>312</v>
      </c>
      <c r="K378" s="1" t="s">
        <v>317</v>
      </c>
      <c r="L378">
        <v>8544300007</v>
      </c>
      <c r="M378" s="2" t="s">
        <v>318</v>
      </c>
      <c r="N378" s="3" t="s">
        <v>319</v>
      </c>
      <c r="O378" s="1">
        <v>10</v>
      </c>
      <c r="P378" s="4">
        <v>206.26</v>
      </c>
      <c r="Q378" s="4">
        <v>165.3</v>
      </c>
      <c r="R378" s="4">
        <v>4.8</v>
      </c>
      <c r="S378" s="4">
        <v>223.27</v>
      </c>
      <c r="T378" s="5">
        <v>1.158</v>
      </c>
      <c r="U378" s="5">
        <v>11.58</v>
      </c>
      <c r="V378" s="5">
        <v>1.41</v>
      </c>
      <c r="W378" s="5">
        <v>14.1</v>
      </c>
      <c r="X378" s="4">
        <v>2232.7</v>
      </c>
    </row>
    <row r="379" ht="14.5" customHeight="1" spans="1:28">
      <c r="B379" s="6" t="str">
        <f t="shared" si="5"/>
        <v>43115-DT1EJ20250101-A-JIEU8015558-PARTS</v>
      </c>
      <c r="C379" t="s">
        <v>80</v>
      </c>
      <c r="D379" t="s">
        <v>81</v>
      </c>
      <c r="E379" t="s">
        <v>82</v>
      </c>
      <c r="F379" t="s">
        <v>83</v>
      </c>
      <c r="G379" s="1" t="s">
        <v>84</v>
      </c>
      <c r="I379" s="1" t="s">
        <v>85</v>
      </c>
      <c r="J379" s="1" t="s">
        <v>312</v>
      </c>
      <c r="K379" s="1" t="s">
        <v>317</v>
      </c>
      <c r="L379">
        <v>8544300007</v>
      </c>
      <c r="M379" s="2" t="s">
        <v>318</v>
      </c>
      <c r="N379" s="3" t="s">
        <v>319</v>
      </c>
      <c r="O379" s="1">
        <v>10</v>
      </c>
      <c r="P379" s="4">
        <v>206.26</v>
      </c>
      <c r="Q379" s="4">
        <v>165.3</v>
      </c>
      <c r="R379" s="4">
        <v>4.8</v>
      </c>
      <c r="S379" s="4">
        <v>223.27</v>
      </c>
      <c r="T379" s="5">
        <v>1.158</v>
      </c>
      <c r="U379" s="5">
        <v>11.58</v>
      </c>
      <c r="V379" s="5">
        <v>1.41</v>
      </c>
      <c r="W379" s="5">
        <v>14.1</v>
      </c>
      <c r="X379" s="4">
        <v>2232.7</v>
      </c>
    </row>
    <row r="380" ht="14.5" customHeight="1" spans="1:28">
      <c r="B380" s="6" t="str">
        <f t="shared" si="5"/>
        <v>43115-DT1EJ20250101-A-JIEU8015558-PARTS</v>
      </c>
      <c r="C380" t="s">
        <v>80</v>
      </c>
      <c r="D380" t="s">
        <v>81</v>
      </c>
      <c r="E380" t="s">
        <v>82</v>
      </c>
      <c r="F380" t="s">
        <v>83</v>
      </c>
      <c r="G380" s="1" t="s">
        <v>84</v>
      </c>
      <c r="I380" s="1" t="s">
        <v>85</v>
      </c>
      <c r="J380" s="1" t="s">
        <v>312</v>
      </c>
      <c r="K380" s="1" t="s">
        <v>317</v>
      </c>
      <c r="L380">
        <v>8544300007</v>
      </c>
      <c r="M380" s="2" t="s">
        <v>318</v>
      </c>
      <c r="N380" s="3" t="s">
        <v>319</v>
      </c>
      <c r="O380" s="1">
        <v>10</v>
      </c>
      <c r="P380" s="4">
        <v>206.26</v>
      </c>
      <c r="Q380" s="4">
        <v>165.3</v>
      </c>
      <c r="R380" s="4">
        <v>4.8</v>
      </c>
      <c r="S380" s="4">
        <v>223.27</v>
      </c>
      <c r="T380" s="5">
        <v>1.158</v>
      </c>
      <c r="U380" s="5">
        <v>11.58</v>
      </c>
      <c r="V380" s="5">
        <v>1.41</v>
      </c>
      <c r="W380" s="5">
        <v>14.1</v>
      </c>
      <c r="X380" s="4">
        <v>2232.7</v>
      </c>
    </row>
    <row r="381" ht="14.5" customHeight="1" spans="1:28">
      <c r="B381" s="6" t="str">
        <f t="shared" si="5"/>
        <v>43115-DT1EJ20250101-A-JIEU8015558-PARTS</v>
      </c>
      <c r="C381" t="s">
        <v>80</v>
      </c>
      <c r="D381" t="s">
        <v>81</v>
      </c>
      <c r="E381" t="s">
        <v>82</v>
      </c>
      <c r="F381" t="s">
        <v>83</v>
      </c>
      <c r="G381" s="1" t="s">
        <v>84</v>
      </c>
      <c r="I381" s="1" t="s">
        <v>85</v>
      </c>
      <c r="J381" s="1" t="s">
        <v>312</v>
      </c>
      <c r="K381" s="1" t="s">
        <v>317</v>
      </c>
      <c r="L381">
        <v>8544300007</v>
      </c>
      <c r="M381" s="2" t="s">
        <v>318</v>
      </c>
      <c r="N381" s="3" t="s">
        <v>319</v>
      </c>
      <c r="O381" s="1">
        <v>10</v>
      </c>
      <c r="P381" s="4">
        <v>206.26</v>
      </c>
      <c r="Q381" s="4">
        <v>165.3</v>
      </c>
      <c r="R381" s="4">
        <v>4.8</v>
      </c>
      <c r="S381" s="4">
        <v>223.27</v>
      </c>
      <c r="T381" s="5">
        <v>1.158</v>
      </c>
      <c r="U381" s="5">
        <v>11.58</v>
      </c>
      <c r="V381" s="5">
        <v>1.41</v>
      </c>
      <c r="W381" s="5">
        <v>14.1</v>
      </c>
      <c r="X381" s="4">
        <v>2232.7</v>
      </c>
    </row>
    <row r="382" ht="14.5" customHeight="1" spans="1:28">
      <c r="B382" s="6" t="str">
        <f t="shared" si="5"/>
        <v>43115-DT1EJ20250101-A-JIEU8015558-PARTS</v>
      </c>
      <c r="C382" t="s">
        <v>80</v>
      </c>
      <c r="D382" t="s">
        <v>81</v>
      </c>
      <c r="E382" t="s">
        <v>82</v>
      </c>
      <c r="F382" t="s">
        <v>83</v>
      </c>
      <c r="G382" s="1" t="s">
        <v>84</v>
      </c>
      <c r="I382" s="1" t="s">
        <v>85</v>
      </c>
      <c r="J382" s="1" t="s">
        <v>312</v>
      </c>
      <c r="K382" s="1" t="s">
        <v>317</v>
      </c>
      <c r="L382">
        <v>8544300007</v>
      </c>
      <c r="M382" s="2" t="s">
        <v>318</v>
      </c>
      <c r="N382" s="3" t="s">
        <v>319</v>
      </c>
      <c r="O382" s="1">
        <v>10</v>
      </c>
      <c r="P382" s="4">
        <v>206.26</v>
      </c>
      <c r="Q382" s="4">
        <v>165.3</v>
      </c>
      <c r="R382" s="4">
        <v>4.8</v>
      </c>
      <c r="S382" s="4">
        <v>223.27</v>
      </c>
      <c r="T382" s="5">
        <v>1.158</v>
      </c>
      <c r="U382" s="5">
        <v>11.58</v>
      </c>
      <c r="V382" s="5">
        <v>1.41</v>
      </c>
      <c r="W382" s="5">
        <v>14.1</v>
      </c>
      <c r="X382" s="4">
        <v>2232.7</v>
      </c>
    </row>
    <row r="383" ht="14.5" customHeight="1" spans="1:28">
      <c r="B383" s="6" t="str">
        <f t="shared" si="5"/>
        <v>43115-DT1EJ20250101-A-JIEU8015558-PARTS</v>
      </c>
      <c r="C383" t="s">
        <v>80</v>
      </c>
      <c r="D383" t="s">
        <v>81</v>
      </c>
      <c r="E383" t="s">
        <v>82</v>
      </c>
      <c r="F383" t="s">
        <v>83</v>
      </c>
      <c r="G383" s="1" t="s">
        <v>84</v>
      </c>
      <c r="I383" s="1" t="s">
        <v>85</v>
      </c>
      <c r="J383" s="1" t="s">
        <v>312</v>
      </c>
      <c r="K383" s="1" t="s">
        <v>317</v>
      </c>
      <c r="L383">
        <v>8544300007</v>
      </c>
      <c r="M383" s="2" t="s">
        <v>318</v>
      </c>
      <c r="N383" s="3" t="s">
        <v>319</v>
      </c>
      <c r="O383" s="1">
        <v>10</v>
      </c>
      <c r="P383" s="4">
        <v>206.26</v>
      </c>
      <c r="Q383" s="4">
        <v>165.3</v>
      </c>
      <c r="R383" s="4">
        <v>4.8</v>
      </c>
      <c r="S383" s="4">
        <v>223.27</v>
      </c>
      <c r="T383" s="5">
        <v>1.158</v>
      </c>
      <c r="U383" s="5">
        <v>11.58</v>
      </c>
      <c r="V383" s="5">
        <v>1.41</v>
      </c>
      <c r="W383" s="5">
        <v>14.1</v>
      </c>
      <c r="X383" s="4">
        <v>2232.7</v>
      </c>
    </row>
    <row r="384" ht="14.5" customHeight="1" spans="1:28">
      <c r="B384" s="6" t="str">
        <f t="shared" si="5"/>
        <v>43115-DT1EJ20250101-A-JIEU8015558-PARTS</v>
      </c>
      <c r="C384" t="s">
        <v>80</v>
      </c>
      <c r="D384" t="s">
        <v>81</v>
      </c>
      <c r="E384" t="s">
        <v>82</v>
      </c>
      <c r="F384" t="s">
        <v>83</v>
      </c>
      <c r="G384" s="1" t="s">
        <v>84</v>
      </c>
      <c r="I384" s="1" t="s">
        <v>85</v>
      </c>
      <c r="J384" s="1" t="s">
        <v>312</v>
      </c>
      <c r="K384" s="1" t="s">
        <v>317</v>
      </c>
      <c r="L384">
        <v>8544300007</v>
      </c>
      <c r="M384" s="2" t="s">
        <v>318</v>
      </c>
      <c r="N384" s="3" t="s">
        <v>319</v>
      </c>
      <c r="O384" s="1">
        <v>10</v>
      </c>
      <c r="P384" s="4">
        <v>206.26</v>
      </c>
      <c r="Q384" s="4">
        <v>165.3</v>
      </c>
      <c r="R384" s="4">
        <v>4.8</v>
      </c>
      <c r="S384" s="4">
        <v>223.27</v>
      </c>
      <c r="T384" s="5">
        <v>1.158</v>
      </c>
      <c r="U384" s="5">
        <v>11.58</v>
      </c>
      <c r="V384" s="5">
        <v>1.41</v>
      </c>
      <c r="W384" s="5">
        <v>14.1</v>
      </c>
      <c r="X384" s="4">
        <v>2232.7</v>
      </c>
    </row>
    <row r="385" ht="14.5" customHeight="1" spans="1:28">
      <c r="B385" s="6" t="str">
        <f t="shared" si="5"/>
        <v>43115-DT1EJ20250101-A-JIEU8015558-PARTS</v>
      </c>
      <c r="C385" t="s">
        <v>80</v>
      </c>
      <c r="D385" t="s">
        <v>81</v>
      </c>
      <c r="E385" t="s">
        <v>82</v>
      </c>
      <c r="F385" t="s">
        <v>83</v>
      </c>
      <c r="G385" s="1" t="s">
        <v>84</v>
      </c>
      <c r="I385" s="1" t="s">
        <v>85</v>
      </c>
      <c r="J385" s="1" t="s">
        <v>312</v>
      </c>
      <c r="K385" s="1" t="s">
        <v>103</v>
      </c>
      <c r="L385">
        <v>8708923509</v>
      </c>
      <c r="M385" s="2" t="s">
        <v>104</v>
      </c>
      <c r="N385" s="3" t="s">
        <v>105</v>
      </c>
      <c r="O385" s="1">
        <v>2</v>
      </c>
      <c r="P385" s="4">
        <v>1114.58</v>
      </c>
      <c r="Q385" s="4">
        <v>178.68</v>
      </c>
      <c r="R385" s="4">
        <v>5.14</v>
      </c>
      <c r="S385" s="4">
        <v>1206.49</v>
      </c>
      <c r="T385" s="5">
        <v>6.354</v>
      </c>
      <c r="U385" s="5">
        <v>12.708</v>
      </c>
      <c r="V385" s="5">
        <v>7.74</v>
      </c>
      <c r="W385" s="5">
        <v>15.48</v>
      </c>
      <c r="X385" s="4">
        <v>2412.98</v>
      </c>
    </row>
    <row r="386" ht="14.5" customHeight="1" spans="1:28">
      <c r="B386" s="6" t="str">
        <f t="shared" ref="B386:B449" si="6">CONCATENATE(C386,"-",E386,"-",G386)</f>
        <v>43115-DT1EJ20250101-A-JIEU8015558-PARTS</v>
      </c>
      <c r="C386" t="s">
        <v>80</v>
      </c>
      <c r="D386" t="s">
        <v>81</v>
      </c>
      <c r="E386" t="s">
        <v>82</v>
      </c>
      <c r="F386" t="s">
        <v>83</v>
      </c>
      <c r="G386" s="1" t="s">
        <v>84</v>
      </c>
      <c r="I386" s="1" t="s">
        <v>85</v>
      </c>
      <c r="J386" s="1" t="s">
        <v>312</v>
      </c>
      <c r="K386" s="1" t="s">
        <v>103</v>
      </c>
      <c r="L386">
        <v>8708923509</v>
      </c>
      <c r="M386" s="2" t="s">
        <v>104</v>
      </c>
      <c r="N386" s="3" t="s">
        <v>105</v>
      </c>
      <c r="O386" s="1">
        <v>2</v>
      </c>
      <c r="P386" s="4">
        <v>1114.58</v>
      </c>
      <c r="Q386" s="4">
        <v>178.68</v>
      </c>
      <c r="R386" s="4">
        <v>5.14</v>
      </c>
      <c r="S386" s="4">
        <v>1206.49</v>
      </c>
      <c r="T386" s="5">
        <v>6.354</v>
      </c>
      <c r="U386" s="5">
        <v>12.708</v>
      </c>
      <c r="V386" s="5">
        <v>7.74</v>
      </c>
      <c r="W386" s="5">
        <v>15.48</v>
      </c>
      <c r="X386" s="4">
        <v>2412.98</v>
      </c>
    </row>
    <row r="387" ht="14.5" customHeight="1" spans="1:28">
      <c r="B387" s="6" t="str">
        <f t="shared" si="6"/>
        <v>43115-DT1EJ20250101-A-JIEU8015558-PARTS</v>
      </c>
      <c r="C387" t="s">
        <v>80</v>
      </c>
      <c r="D387" t="s">
        <v>81</v>
      </c>
      <c r="E387" t="s">
        <v>82</v>
      </c>
      <c r="F387" t="s">
        <v>83</v>
      </c>
      <c r="G387" s="1" t="s">
        <v>84</v>
      </c>
      <c r="I387" s="1" t="s">
        <v>85</v>
      </c>
      <c r="J387" s="1" t="s">
        <v>312</v>
      </c>
      <c r="K387" s="1" t="s">
        <v>103</v>
      </c>
      <c r="L387">
        <v>8708923509</v>
      </c>
      <c r="M387" s="2" t="s">
        <v>104</v>
      </c>
      <c r="N387" s="3" t="s">
        <v>105</v>
      </c>
      <c r="O387" s="1">
        <v>2</v>
      </c>
      <c r="P387" s="4">
        <v>1114.58</v>
      </c>
      <c r="Q387" s="4">
        <v>178.68</v>
      </c>
      <c r="R387" s="4">
        <v>5.14</v>
      </c>
      <c r="S387" s="4">
        <v>1206.49</v>
      </c>
      <c r="T387" s="5">
        <v>6.354</v>
      </c>
      <c r="U387" s="5">
        <v>12.708</v>
      </c>
      <c r="V387" s="5">
        <v>7.74</v>
      </c>
      <c r="W387" s="5">
        <v>15.48</v>
      </c>
      <c r="X387" s="4">
        <v>2412.98</v>
      </c>
    </row>
    <row r="388" ht="14.5" customHeight="1" spans="1:28">
      <c r="B388" s="6" t="str">
        <f t="shared" si="6"/>
        <v>43115-DT1EJ20250101-A-JIEU8015558-PARTS</v>
      </c>
      <c r="C388" t="s">
        <v>80</v>
      </c>
      <c r="D388" t="s">
        <v>81</v>
      </c>
      <c r="E388" t="s">
        <v>82</v>
      </c>
      <c r="F388" t="s">
        <v>83</v>
      </c>
      <c r="G388" s="1" t="s">
        <v>84</v>
      </c>
      <c r="I388" s="1" t="s">
        <v>85</v>
      </c>
      <c r="J388" s="1" t="s">
        <v>312</v>
      </c>
      <c r="K388" s="1" t="s">
        <v>103</v>
      </c>
      <c r="L388">
        <v>8708923509</v>
      </c>
      <c r="M388" s="2" t="s">
        <v>104</v>
      </c>
      <c r="N388" s="3" t="s">
        <v>105</v>
      </c>
      <c r="O388" s="1">
        <v>2</v>
      </c>
      <c r="P388" s="4">
        <v>1114.58</v>
      </c>
      <c r="Q388" s="4">
        <v>178.68</v>
      </c>
      <c r="R388" s="4">
        <v>5.14</v>
      </c>
      <c r="S388" s="4">
        <v>1206.49</v>
      </c>
      <c r="T388" s="5">
        <v>6.354</v>
      </c>
      <c r="U388" s="5">
        <v>12.708</v>
      </c>
      <c r="V388" s="5">
        <v>7.74</v>
      </c>
      <c r="W388" s="5">
        <v>15.48</v>
      </c>
      <c r="X388" s="4">
        <v>2412.98</v>
      </c>
    </row>
    <row r="389" ht="14.5" customHeight="1" spans="1:28">
      <c r="B389" s="6" t="str">
        <f t="shared" si="6"/>
        <v>43115-DT1EJ20250101-A-JIEU8015558-PARTS</v>
      </c>
      <c r="C389" t="s">
        <v>80</v>
      </c>
      <c r="D389" t="s">
        <v>81</v>
      </c>
      <c r="E389" t="s">
        <v>82</v>
      </c>
      <c r="F389" t="s">
        <v>83</v>
      </c>
      <c r="G389" s="1" t="s">
        <v>84</v>
      </c>
      <c r="I389" s="1" t="s">
        <v>85</v>
      </c>
      <c r="J389" s="1" t="s">
        <v>312</v>
      </c>
      <c r="K389" s="1" t="s">
        <v>103</v>
      </c>
      <c r="L389">
        <v>8708923509</v>
      </c>
      <c r="M389" s="2" t="s">
        <v>104</v>
      </c>
      <c r="N389" s="3" t="s">
        <v>105</v>
      </c>
      <c r="O389" s="1">
        <v>2</v>
      </c>
      <c r="P389" s="4">
        <v>1114.58</v>
      </c>
      <c r="Q389" s="4">
        <v>178.68</v>
      </c>
      <c r="R389" s="4">
        <v>5.14</v>
      </c>
      <c r="S389" s="4">
        <v>1206.49</v>
      </c>
      <c r="T389" s="5">
        <v>6.354</v>
      </c>
      <c r="U389" s="5">
        <v>12.708</v>
      </c>
      <c r="V389" s="5">
        <v>7.74</v>
      </c>
      <c r="W389" s="5">
        <v>15.48</v>
      </c>
      <c r="X389" s="4">
        <v>2412.98</v>
      </c>
    </row>
    <row r="390" ht="14.5" customHeight="1" spans="1:28">
      <c r="B390" s="6" t="str">
        <f t="shared" si="6"/>
        <v>43115-DT1EJ20250101-A-JIEU8015558-PARTS</v>
      </c>
      <c r="C390" t="s">
        <v>80</v>
      </c>
      <c r="D390" t="s">
        <v>81</v>
      </c>
      <c r="E390" t="s">
        <v>82</v>
      </c>
      <c r="F390" t="s">
        <v>83</v>
      </c>
      <c r="G390" s="1" t="s">
        <v>84</v>
      </c>
      <c r="I390" s="1" t="s">
        <v>85</v>
      </c>
      <c r="J390" s="1" t="s">
        <v>312</v>
      </c>
      <c r="K390" s="1" t="s">
        <v>103</v>
      </c>
      <c r="L390">
        <v>8708923509</v>
      </c>
      <c r="M390" s="2" t="s">
        <v>104</v>
      </c>
      <c r="N390" s="3" t="s">
        <v>105</v>
      </c>
      <c r="O390" s="1">
        <v>2</v>
      </c>
      <c r="P390" s="4">
        <v>1114.58</v>
      </c>
      <c r="Q390" s="4">
        <v>178.68</v>
      </c>
      <c r="R390" s="4">
        <v>5.14</v>
      </c>
      <c r="S390" s="4">
        <v>1206.49</v>
      </c>
      <c r="T390" s="5">
        <v>6.354</v>
      </c>
      <c r="U390" s="5">
        <v>12.708</v>
      </c>
      <c r="V390" s="5">
        <v>7.74</v>
      </c>
      <c r="W390" s="5">
        <v>15.48</v>
      </c>
      <c r="X390" s="4">
        <v>2412.98</v>
      </c>
    </row>
    <row r="391" ht="14.5" customHeight="1" spans="1:28">
      <c r="B391" s="6" t="str">
        <f t="shared" si="6"/>
        <v>43115-DT1EJ20250101-A-JIEU8015558-PARTS</v>
      </c>
      <c r="C391" t="s">
        <v>80</v>
      </c>
      <c r="D391" t="s">
        <v>81</v>
      </c>
      <c r="E391" t="s">
        <v>82</v>
      </c>
      <c r="F391" t="s">
        <v>83</v>
      </c>
      <c r="G391" s="1" t="s">
        <v>84</v>
      </c>
      <c r="I391" s="1" t="s">
        <v>85</v>
      </c>
      <c r="J391" s="1" t="s">
        <v>312</v>
      </c>
      <c r="K391" s="1" t="s">
        <v>103</v>
      </c>
      <c r="L391">
        <v>8708923509</v>
      </c>
      <c r="M391" s="2" t="s">
        <v>104</v>
      </c>
      <c r="N391" s="3" t="s">
        <v>105</v>
      </c>
      <c r="O391" s="1">
        <v>2</v>
      </c>
      <c r="P391" s="4">
        <v>1114.58</v>
      </c>
      <c r="Q391" s="4">
        <v>178.68</v>
      </c>
      <c r="R391" s="4">
        <v>5.14</v>
      </c>
      <c r="S391" s="4">
        <v>1206.49</v>
      </c>
      <c r="T391" s="5">
        <v>6.354</v>
      </c>
      <c r="U391" s="5">
        <v>12.708</v>
      </c>
      <c r="V391" s="5">
        <v>7.74</v>
      </c>
      <c r="W391" s="5">
        <v>15.48</v>
      </c>
      <c r="X391" s="4">
        <v>2412.98</v>
      </c>
    </row>
    <row r="392" ht="14.5" customHeight="1" spans="1:28">
      <c r="B392" s="6" t="str">
        <f t="shared" si="6"/>
        <v>43115-DT1EJ20250101-A-JIEU8015558-PARTS</v>
      </c>
      <c r="C392" s="29" t="s">
        <v>80</v>
      </c>
      <c r="D392" s="30" t="s">
        <v>81</v>
      </c>
      <c r="E392" s="30" t="s">
        <v>82</v>
      </c>
      <c r="F392" s="30" t="s">
        <v>83</v>
      </c>
      <c r="G392" s="31" t="s">
        <v>84</v>
      </c>
      <c r="H392" s="31"/>
      <c r="I392" s="31" t="s">
        <v>85</v>
      </c>
      <c r="J392" s="31" t="s">
        <v>312</v>
      </c>
      <c r="K392" s="31" t="s">
        <v>103</v>
      </c>
      <c r="L392" s="31">
        <v>8708923509</v>
      </c>
      <c r="M392" s="32" t="s">
        <v>104</v>
      </c>
      <c r="N392" s="33" t="s">
        <v>105</v>
      </c>
      <c r="O392" s="31">
        <v>2</v>
      </c>
      <c r="P392" s="34">
        <v>1114.58</v>
      </c>
      <c r="Q392" s="34">
        <v>178.68</v>
      </c>
      <c r="R392" s="34">
        <v>5.14</v>
      </c>
      <c r="S392" s="34">
        <v>1206.49</v>
      </c>
      <c r="T392" s="35">
        <v>6.354</v>
      </c>
      <c r="U392" s="35">
        <v>12.708</v>
      </c>
      <c r="V392" s="35">
        <v>7.74</v>
      </c>
      <c r="W392" s="35">
        <v>15.48</v>
      </c>
      <c r="X392" s="34">
        <v>2412.98</v>
      </c>
      <c r="Y392" s="31"/>
      <c r="Z392" s="31"/>
      <c r="AA392" s="31"/>
      <c r="AB392" s="31"/>
    </row>
    <row r="393" ht="14.5" customHeight="1" spans="1:28">
      <c r="B393" s="6" t="str">
        <f t="shared" si="6"/>
        <v>43115-DT1EJ20250101-A-JIEU8015558-PARTS</v>
      </c>
      <c r="C393" t="s">
        <v>80</v>
      </c>
      <c r="D393" t="s">
        <v>81</v>
      </c>
      <c r="E393" t="s">
        <v>82</v>
      </c>
      <c r="F393" t="s">
        <v>83</v>
      </c>
      <c r="G393" s="1" t="s">
        <v>84</v>
      </c>
      <c r="I393" s="1" t="s">
        <v>85</v>
      </c>
      <c r="J393" s="1" t="s">
        <v>312</v>
      </c>
      <c r="K393" s="1" t="s">
        <v>103</v>
      </c>
      <c r="L393">
        <v>8708923509</v>
      </c>
      <c r="M393" s="2" t="s">
        <v>104</v>
      </c>
      <c r="N393" s="3" t="s">
        <v>105</v>
      </c>
      <c r="O393" s="1">
        <v>2</v>
      </c>
      <c r="P393" s="4">
        <v>1114.58</v>
      </c>
      <c r="Q393" s="4">
        <v>178.68</v>
      </c>
      <c r="R393" s="4">
        <v>5.14</v>
      </c>
      <c r="S393" s="4">
        <v>1206.49</v>
      </c>
      <c r="T393" s="5">
        <v>6.354</v>
      </c>
      <c r="U393" s="5">
        <v>12.708</v>
      </c>
      <c r="V393" s="5">
        <v>7.74</v>
      </c>
      <c r="W393" s="5">
        <v>15.48</v>
      </c>
      <c r="X393" s="4">
        <v>2412.98</v>
      </c>
    </row>
    <row r="394" ht="14.5" customHeight="1" spans="1:28">
      <c r="B394" s="6" t="str">
        <f t="shared" si="6"/>
        <v>43115-DT1EJ20250101-A-JIEU8015558-PARTS</v>
      </c>
      <c r="C394" t="s">
        <v>80</v>
      </c>
      <c r="D394" t="s">
        <v>81</v>
      </c>
      <c r="E394" t="s">
        <v>82</v>
      </c>
      <c r="F394" t="s">
        <v>83</v>
      </c>
      <c r="G394" s="1" t="s">
        <v>84</v>
      </c>
      <c r="I394" s="1" t="s">
        <v>85</v>
      </c>
      <c r="J394" s="1" t="s">
        <v>312</v>
      </c>
      <c r="K394" s="1" t="s">
        <v>103</v>
      </c>
      <c r="L394">
        <v>8708923509</v>
      </c>
      <c r="M394" s="2" t="s">
        <v>104</v>
      </c>
      <c r="N394" s="3" t="s">
        <v>105</v>
      </c>
      <c r="O394" s="1">
        <v>2</v>
      </c>
      <c r="P394" s="4">
        <v>1114.58</v>
      </c>
      <c r="Q394" s="4">
        <v>178.68</v>
      </c>
      <c r="R394" s="4">
        <v>5.14</v>
      </c>
      <c r="S394" s="4">
        <v>1206.49</v>
      </c>
      <c r="T394" s="5">
        <v>6.354</v>
      </c>
      <c r="U394" s="5">
        <v>12.708</v>
      </c>
      <c r="V394" s="5">
        <v>7.74</v>
      </c>
      <c r="W394" s="5">
        <v>15.48</v>
      </c>
      <c r="X394" s="4">
        <v>2412.98</v>
      </c>
    </row>
    <row r="395" ht="14.5" customHeight="1" spans="1:28">
      <c r="A395" s="6" t="s">
        <v>321</v>
      </c>
      <c r="B395" s="6" t="str">
        <f t="shared" si="6"/>
        <v>43115-DT1EJ20250101-A-JIEU8015558-PARTS</v>
      </c>
      <c r="C395" s="29" t="s">
        <v>80</v>
      </c>
      <c r="D395" s="30" t="s">
        <v>81</v>
      </c>
      <c r="E395" s="30" t="s">
        <v>82</v>
      </c>
      <c r="F395" s="30" t="s">
        <v>83</v>
      </c>
      <c r="G395" s="31" t="s">
        <v>84</v>
      </c>
      <c r="H395" s="31"/>
      <c r="I395" s="31" t="s">
        <v>85</v>
      </c>
      <c r="J395" s="31" t="s">
        <v>312</v>
      </c>
      <c r="K395" s="31" t="s">
        <v>103</v>
      </c>
      <c r="L395" s="31">
        <v>8708923509</v>
      </c>
      <c r="M395" s="32" t="s">
        <v>104</v>
      </c>
      <c r="N395" s="33" t="s">
        <v>105</v>
      </c>
      <c r="O395" s="31">
        <v>2</v>
      </c>
      <c r="P395" s="34">
        <v>1114.58</v>
      </c>
      <c r="Q395" s="34">
        <v>178.68</v>
      </c>
      <c r="R395" s="34">
        <v>5.14</v>
      </c>
      <c r="S395" s="34">
        <v>1206.49</v>
      </c>
      <c r="T395" s="35">
        <v>6.354</v>
      </c>
      <c r="U395" s="35">
        <v>12.708</v>
      </c>
      <c r="V395" s="35">
        <v>7.74</v>
      </c>
      <c r="W395" s="35">
        <v>15.48</v>
      </c>
      <c r="X395" s="34">
        <v>2412.98</v>
      </c>
      <c r="Y395" s="31"/>
      <c r="Z395" s="31"/>
      <c r="AA395" s="31"/>
      <c r="AB395" s="31"/>
    </row>
    <row r="396" ht="14.5" customHeight="1" spans="1:28">
      <c r="B396" s="6" t="str">
        <f t="shared" si="6"/>
        <v>43115-DT1EJ20250101-A-JIEU8015558-PARTS</v>
      </c>
      <c r="C396" s="29" t="s">
        <v>80</v>
      </c>
      <c r="D396" s="30" t="s">
        <v>81</v>
      </c>
      <c r="E396" s="30" t="s">
        <v>82</v>
      </c>
      <c r="F396" s="30" t="s">
        <v>83</v>
      </c>
      <c r="G396" s="31" t="s">
        <v>84</v>
      </c>
      <c r="H396" s="31"/>
      <c r="I396" s="31" t="s">
        <v>85</v>
      </c>
      <c r="J396" s="31" t="s">
        <v>312</v>
      </c>
      <c r="K396" s="31" t="s">
        <v>103</v>
      </c>
      <c r="L396" s="31">
        <v>8708923509</v>
      </c>
      <c r="M396" s="32" t="s">
        <v>104</v>
      </c>
      <c r="N396" s="33" t="s">
        <v>105</v>
      </c>
      <c r="O396" s="31">
        <v>2</v>
      </c>
      <c r="P396" s="34">
        <v>1114.58</v>
      </c>
      <c r="Q396" s="34">
        <v>178.68</v>
      </c>
      <c r="R396" s="34">
        <v>5.14</v>
      </c>
      <c r="S396" s="34">
        <v>1206.49</v>
      </c>
      <c r="T396" s="35">
        <v>6.354</v>
      </c>
      <c r="U396" s="35">
        <v>12.708</v>
      </c>
      <c r="V396" s="35">
        <v>7.74</v>
      </c>
      <c r="W396" s="35">
        <v>15.48</v>
      </c>
      <c r="X396" s="34">
        <v>2412.98</v>
      </c>
      <c r="Y396" s="31"/>
      <c r="Z396" s="31"/>
      <c r="AA396" s="31"/>
      <c r="AB396" s="31"/>
    </row>
    <row r="397" ht="14.5" customHeight="1" spans="1:28">
      <c r="B397" s="6" t="str">
        <f t="shared" si="6"/>
        <v>43115-DT1EJ20250101-A-JIEU8015558-PARTS</v>
      </c>
      <c r="C397" s="29" t="s">
        <v>80</v>
      </c>
      <c r="D397" s="30" t="s">
        <v>81</v>
      </c>
      <c r="E397" s="30" t="s">
        <v>82</v>
      </c>
      <c r="F397" s="30" t="s">
        <v>83</v>
      </c>
      <c r="G397" s="31" t="s">
        <v>84</v>
      </c>
      <c r="H397" s="31"/>
      <c r="I397" s="31" t="s">
        <v>85</v>
      </c>
      <c r="J397" s="31" t="s">
        <v>322</v>
      </c>
      <c r="K397" s="31" t="s">
        <v>323</v>
      </c>
      <c r="L397" s="31">
        <v>8708999709</v>
      </c>
      <c r="M397" s="32" t="s">
        <v>324</v>
      </c>
      <c r="N397" s="33" t="s">
        <v>325</v>
      </c>
      <c r="O397" s="31">
        <v>12</v>
      </c>
      <c r="P397" s="34">
        <v>61.07</v>
      </c>
      <c r="Q397" s="34">
        <v>58.8</v>
      </c>
      <c r="R397" s="34">
        <v>1.68</v>
      </c>
      <c r="S397" s="34">
        <v>66.11</v>
      </c>
      <c r="T397" s="35">
        <v>1.083</v>
      </c>
      <c r="U397" s="35">
        <v>12.996</v>
      </c>
      <c r="V397" s="35">
        <v>1.48</v>
      </c>
      <c r="W397" s="35">
        <v>17.76</v>
      </c>
      <c r="X397" s="34">
        <v>793.32</v>
      </c>
      <c r="Y397" s="31">
        <v>2280</v>
      </c>
      <c r="Z397" s="31">
        <v>1480</v>
      </c>
      <c r="AA397" s="31">
        <v>1280</v>
      </c>
      <c r="AB397" s="31">
        <v>4.32</v>
      </c>
    </row>
    <row r="398" ht="14.5" customHeight="1" spans="1:28">
      <c r="B398" s="6" t="str">
        <f t="shared" si="6"/>
        <v>43115-DT1EJ20250101-A-JIEU8015558-PARTS</v>
      </c>
      <c r="C398" s="29" t="s">
        <v>80</v>
      </c>
      <c r="D398" s="30" t="s">
        <v>81</v>
      </c>
      <c r="E398" s="30" t="s">
        <v>82</v>
      </c>
      <c r="F398" s="30" t="s">
        <v>83</v>
      </c>
      <c r="G398" s="31" t="s">
        <v>84</v>
      </c>
      <c r="H398" s="31"/>
      <c r="I398" s="31" t="s">
        <v>85</v>
      </c>
      <c r="J398" s="31" t="s">
        <v>322</v>
      </c>
      <c r="K398" s="31" t="s">
        <v>323</v>
      </c>
      <c r="L398" s="31">
        <v>8708999709</v>
      </c>
      <c r="M398" s="32" t="s">
        <v>324</v>
      </c>
      <c r="N398" s="33" t="s">
        <v>325</v>
      </c>
      <c r="O398" s="31">
        <v>12</v>
      </c>
      <c r="P398" s="34">
        <v>61.07</v>
      </c>
      <c r="Q398" s="34">
        <v>58.8</v>
      </c>
      <c r="R398" s="34">
        <v>1.68</v>
      </c>
      <c r="S398" s="34">
        <v>66.11</v>
      </c>
      <c r="T398" s="35">
        <v>1.083</v>
      </c>
      <c r="U398" s="35">
        <v>12.996</v>
      </c>
      <c r="V398" s="35">
        <v>1.48</v>
      </c>
      <c r="W398" s="35">
        <v>17.76</v>
      </c>
      <c r="X398" s="34">
        <v>793.32</v>
      </c>
      <c r="Y398" s="31"/>
      <c r="Z398" s="31"/>
      <c r="AA398" s="31"/>
      <c r="AB398" s="31"/>
    </row>
    <row r="399" ht="14.5" customHeight="1" spans="1:28">
      <c r="B399" s="6" t="str">
        <f t="shared" si="6"/>
        <v>43115-DT1EJ20250101-A-JIEU8015558-PARTS</v>
      </c>
      <c r="C399" s="29" t="s">
        <v>80</v>
      </c>
      <c r="D399" s="30" t="s">
        <v>81</v>
      </c>
      <c r="E399" s="30" t="s">
        <v>82</v>
      </c>
      <c r="F399" s="30" t="s">
        <v>83</v>
      </c>
      <c r="G399" s="31" t="s">
        <v>84</v>
      </c>
      <c r="H399" s="31"/>
      <c r="I399" s="31" t="s">
        <v>85</v>
      </c>
      <c r="J399" s="31" t="s">
        <v>322</v>
      </c>
      <c r="K399" s="31" t="s">
        <v>323</v>
      </c>
      <c r="L399" s="31">
        <v>8708999709</v>
      </c>
      <c r="M399" s="32" t="s">
        <v>324</v>
      </c>
      <c r="N399" s="33" t="s">
        <v>325</v>
      </c>
      <c r="O399" s="31">
        <v>12</v>
      </c>
      <c r="P399" s="34">
        <v>61.07</v>
      </c>
      <c r="Q399" s="34">
        <v>58.8</v>
      </c>
      <c r="R399" s="34">
        <v>1.68</v>
      </c>
      <c r="S399" s="34">
        <v>66.11</v>
      </c>
      <c r="T399" s="35">
        <v>1.083</v>
      </c>
      <c r="U399" s="35">
        <v>12.996</v>
      </c>
      <c r="V399" s="35">
        <v>1.48</v>
      </c>
      <c r="W399" s="35">
        <v>17.76</v>
      </c>
      <c r="X399" s="34">
        <v>793.32</v>
      </c>
      <c r="Y399" s="31"/>
      <c r="Z399" s="31"/>
      <c r="AA399" s="31"/>
      <c r="AB399" s="31"/>
    </row>
    <row r="400" ht="14.5" customHeight="1" spans="1:28">
      <c r="B400" s="6" t="str">
        <f t="shared" si="6"/>
        <v>43115-DT1EJ20250101-A-JIEU8015558-PARTS</v>
      </c>
      <c r="C400" s="29" t="s">
        <v>80</v>
      </c>
      <c r="D400" s="30" t="s">
        <v>81</v>
      </c>
      <c r="E400" s="30" t="s">
        <v>82</v>
      </c>
      <c r="F400" s="30" t="s">
        <v>83</v>
      </c>
      <c r="G400" s="31" t="s">
        <v>84</v>
      </c>
      <c r="H400" s="31"/>
      <c r="I400" s="31" t="s">
        <v>85</v>
      </c>
      <c r="J400" s="31" t="s">
        <v>322</v>
      </c>
      <c r="K400" s="31" t="s">
        <v>323</v>
      </c>
      <c r="L400" s="31">
        <v>8708999709</v>
      </c>
      <c r="M400" s="32" t="s">
        <v>324</v>
      </c>
      <c r="N400" s="33" t="s">
        <v>325</v>
      </c>
      <c r="O400" s="31">
        <v>12</v>
      </c>
      <c r="P400" s="34">
        <v>61.07</v>
      </c>
      <c r="Q400" s="34">
        <v>58.8</v>
      </c>
      <c r="R400" s="34">
        <v>1.68</v>
      </c>
      <c r="S400" s="34">
        <v>66.11</v>
      </c>
      <c r="T400" s="35">
        <v>1.083</v>
      </c>
      <c r="U400" s="35">
        <v>12.996</v>
      </c>
      <c r="V400" s="35">
        <v>1.48</v>
      </c>
      <c r="W400" s="35">
        <v>17.76</v>
      </c>
      <c r="X400" s="34">
        <v>793.32</v>
      </c>
      <c r="Y400" s="31"/>
      <c r="Z400" s="31"/>
      <c r="AA400" s="31"/>
      <c r="AB400" s="31"/>
    </row>
    <row r="401" ht="14.5" customHeight="1" spans="2:28">
      <c r="B401" s="6" t="str">
        <f t="shared" si="6"/>
        <v>43115-DT1EJ20250101-A-JIEU8015558-PARTS</v>
      </c>
      <c r="C401" s="29" t="s">
        <v>80</v>
      </c>
      <c r="D401" s="30" t="s">
        <v>81</v>
      </c>
      <c r="E401" s="30" t="s">
        <v>82</v>
      </c>
      <c r="F401" s="30" t="s">
        <v>83</v>
      </c>
      <c r="G401" s="31" t="s">
        <v>84</v>
      </c>
      <c r="H401" s="31"/>
      <c r="I401" s="31" t="s">
        <v>85</v>
      </c>
      <c r="J401" s="31" t="s">
        <v>322</v>
      </c>
      <c r="K401" s="31" t="s">
        <v>323</v>
      </c>
      <c r="L401" s="31">
        <v>8708999709</v>
      </c>
      <c r="M401" s="32" t="s">
        <v>324</v>
      </c>
      <c r="N401" s="33" t="s">
        <v>325</v>
      </c>
      <c r="O401" s="31">
        <v>12</v>
      </c>
      <c r="P401" s="34">
        <v>61.07</v>
      </c>
      <c r="Q401" s="34">
        <v>58.8</v>
      </c>
      <c r="R401" s="34">
        <v>1.68</v>
      </c>
      <c r="S401" s="34">
        <v>66.11</v>
      </c>
      <c r="T401" s="35">
        <v>1.083</v>
      </c>
      <c r="U401" s="35">
        <v>12.996</v>
      </c>
      <c r="V401" s="35">
        <v>1.48</v>
      </c>
      <c r="W401" s="35">
        <v>17.76</v>
      </c>
      <c r="X401" s="34">
        <v>793.32</v>
      </c>
      <c r="Y401" s="31"/>
      <c r="Z401" s="31"/>
      <c r="AA401" s="31"/>
      <c r="AB401" s="31"/>
    </row>
    <row r="402" ht="14.5" customHeight="1" spans="2:28">
      <c r="B402" s="6" t="str">
        <f t="shared" si="6"/>
        <v>43115-DT1EJ20250101-A-JIEU8015558-PARTS</v>
      </c>
      <c r="C402" s="29" t="s">
        <v>80</v>
      </c>
      <c r="D402" s="30" t="s">
        <v>81</v>
      </c>
      <c r="E402" s="30" t="s">
        <v>82</v>
      </c>
      <c r="F402" s="30" t="s">
        <v>83</v>
      </c>
      <c r="G402" s="31" t="s">
        <v>84</v>
      </c>
      <c r="H402" s="31"/>
      <c r="I402" s="31" t="s">
        <v>85</v>
      </c>
      <c r="J402" s="31" t="s">
        <v>322</v>
      </c>
      <c r="K402" s="31" t="s">
        <v>323</v>
      </c>
      <c r="L402" s="31">
        <v>8708999709</v>
      </c>
      <c r="M402" s="32" t="s">
        <v>324</v>
      </c>
      <c r="N402" s="33" t="s">
        <v>325</v>
      </c>
      <c r="O402" s="31">
        <v>12</v>
      </c>
      <c r="P402" s="34">
        <v>61.07</v>
      </c>
      <c r="Q402" s="34">
        <v>58.8</v>
      </c>
      <c r="R402" s="34">
        <v>1.68</v>
      </c>
      <c r="S402" s="34">
        <v>66.11</v>
      </c>
      <c r="T402" s="35">
        <v>1.083</v>
      </c>
      <c r="U402" s="35">
        <v>12.996</v>
      </c>
      <c r="V402" s="35">
        <v>1.48</v>
      </c>
      <c r="W402" s="35">
        <v>17.76</v>
      </c>
      <c r="X402" s="34">
        <v>793.32</v>
      </c>
      <c r="Y402" s="31"/>
      <c r="Z402" s="31"/>
      <c r="AA402" s="31"/>
      <c r="AB402" s="31"/>
    </row>
    <row r="403" ht="14.5" customHeight="1" spans="2:28">
      <c r="B403" s="6" t="str">
        <f t="shared" si="6"/>
        <v>43115-DT1EJ20250101-A-JIEU8015558-PARTS</v>
      </c>
      <c r="C403" s="29" t="s">
        <v>80</v>
      </c>
      <c r="D403" s="30" t="s">
        <v>81</v>
      </c>
      <c r="E403" s="30" t="s">
        <v>82</v>
      </c>
      <c r="F403" s="30" t="s">
        <v>83</v>
      </c>
      <c r="G403" s="31" t="s">
        <v>84</v>
      </c>
      <c r="H403" s="31"/>
      <c r="I403" s="31" t="s">
        <v>85</v>
      </c>
      <c r="J403" s="31" t="s">
        <v>322</v>
      </c>
      <c r="K403" s="31" t="s">
        <v>323</v>
      </c>
      <c r="L403" s="31">
        <v>8708999709</v>
      </c>
      <c r="M403" s="32" t="s">
        <v>324</v>
      </c>
      <c r="N403" s="33" t="s">
        <v>325</v>
      </c>
      <c r="O403" s="31">
        <v>12</v>
      </c>
      <c r="P403" s="34">
        <v>61.07</v>
      </c>
      <c r="Q403" s="34">
        <v>58.8</v>
      </c>
      <c r="R403" s="34">
        <v>1.68</v>
      </c>
      <c r="S403" s="34">
        <v>66.11</v>
      </c>
      <c r="T403" s="35">
        <v>1.083</v>
      </c>
      <c r="U403" s="35">
        <v>12.996</v>
      </c>
      <c r="V403" s="35">
        <v>1.48</v>
      </c>
      <c r="W403" s="35">
        <v>17.76</v>
      </c>
      <c r="X403" s="34">
        <v>793.32</v>
      </c>
      <c r="Y403" s="31"/>
      <c r="Z403" s="31"/>
      <c r="AA403" s="31"/>
      <c r="AB403" s="31"/>
    </row>
    <row r="404" ht="14.5" customHeight="1" spans="2:28">
      <c r="B404" s="6" t="str">
        <f t="shared" si="6"/>
        <v>43115-DT1EJ20250101-A-JIEU8015558-PARTS</v>
      </c>
      <c r="C404" t="s">
        <v>80</v>
      </c>
      <c r="D404" t="s">
        <v>81</v>
      </c>
      <c r="E404" t="s">
        <v>82</v>
      </c>
      <c r="F404" t="s">
        <v>83</v>
      </c>
      <c r="G404" s="1" t="s">
        <v>84</v>
      </c>
      <c r="I404" s="1" t="s">
        <v>85</v>
      </c>
      <c r="J404" s="1" t="s">
        <v>322</v>
      </c>
      <c r="K404" s="1" t="s">
        <v>323</v>
      </c>
      <c r="L404">
        <v>8708999709</v>
      </c>
      <c r="M404" s="2" t="s">
        <v>324</v>
      </c>
      <c r="N404" s="3" t="s">
        <v>325</v>
      </c>
      <c r="O404" s="1">
        <v>12</v>
      </c>
      <c r="P404" s="4">
        <v>61.07</v>
      </c>
      <c r="Q404" s="4">
        <v>58.8</v>
      </c>
      <c r="R404" s="4">
        <v>1.68</v>
      </c>
      <c r="S404" s="4">
        <v>66.11</v>
      </c>
      <c r="T404" s="5">
        <v>1.083</v>
      </c>
      <c r="U404" s="5">
        <v>12.996</v>
      </c>
      <c r="V404" s="5">
        <v>1.48</v>
      </c>
      <c r="W404" s="5">
        <v>17.76</v>
      </c>
      <c r="X404" s="4">
        <v>793.32</v>
      </c>
    </row>
    <row r="405" ht="14.5" customHeight="1" spans="2:28">
      <c r="B405" s="6" t="str">
        <f t="shared" si="6"/>
        <v>43115-DT1EJ20250101-A-JIEU8015558-PARTS</v>
      </c>
      <c r="C405" s="29" t="s">
        <v>80</v>
      </c>
      <c r="D405" s="30" t="s">
        <v>81</v>
      </c>
      <c r="E405" s="30" t="s">
        <v>82</v>
      </c>
      <c r="F405" s="30" t="s">
        <v>83</v>
      </c>
      <c r="G405" s="31" t="s">
        <v>84</v>
      </c>
      <c r="H405" s="31"/>
      <c r="I405" s="31" t="s">
        <v>85</v>
      </c>
      <c r="J405" s="31" t="s">
        <v>322</v>
      </c>
      <c r="K405" s="31" t="s">
        <v>323</v>
      </c>
      <c r="L405" s="31">
        <v>8708999709</v>
      </c>
      <c r="M405" s="32" t="s">
        <v>324</v>
      </c>
      <c r="N405" s="33" t="s">
        <v>325</v>
      </c>
      <c r="O405" s="31">
        <v>12</v>
      </c>
      <c r="P405" s="34">
        <v>61.07</v>
      </c>
      <c r="Q405" s="34">
        <v>58.8</v>
      </c>
      <c r="R405" s="34">
        <v>1.68</v>
      </c>
      <c r="S405" s="34">
        <v>66.11</v>
      </c>
      <c r="T405" s="35">
        <v>1.083</v>
      </c>
      <c r="U405" s="35">
        <v>12.996</v>
      </c>
      <c r="V405" s="35">
        <v>1.48</v>
      </c>
      <c r="W405" s="35">
        <v>17.76</v>
      </c>
      <c r="X405" s="34">
        <v>793.32</v>
      </c>
      <c r="Y405" s="31"/>
      <c r="Z405" s="31"/>
      <c r="AA405" s="31"/>
      <c r="AB405" s="31"/>
    </row>
    <row r="406" ht="14.5" customHeight="1" spans="2:28">
      <c r="B406" s="6" t="str">
        <f t="shared" si="6"/>
        <v>43115-DT1EJ20250101-A-JIEU8015558-PARTS</v>
      </c>
      <c r="C406" s="29" t="s">
        <v>80</v>
      </c>
      <c r="D406" s="30" t="s">
        <v>81</v>
      </c>
      <c r="E406" s="30" t="s">
        <v>82</v>
      </c>
      <c r="F406" s="30" t="s">
        <v>83</v>
      </c>
      <c r="G406" s="31" t="s">
        <v>84</v>
      </c>
      <c r="H406" s="31"/>
      <c r="I406" s="31" t="s">
        <v>85</v>
      </c>
      <c r="J406" s="31" t="s">
        <v>322</v>
      </c>
      <c r="K406" s="31" t="s">
        <v>323</v>
      </c>
      <c r="L406" s="31">
        <v>8708999709</v>
      </c>
      <c r="M406" s="32" t="s">
        <v>324</v>
      </c>
      <c r="N406" s="33" t="s">
        <v>325</v>
      </c>
      <c r="O406" s="31">
        <v>12</v>
      </c>
      <c r="P406" s="34">
        <v>61.07</v>
      </c>
      <c r="Q406" s="34">
        <v>58.8</v>
      </c>
      <c r="R406" s="34">
        <v>1.68</v>
      </c>
      <c r="S406" s="34">
        <v>66.11</v>
      </c>
      <c r="T406" s="35">
        <v>1.083</v>
      </c>
      <c r="U406" s="35">
        <v>12.996</v>
      </c>
      <c r="V406" s="35">
        <v>1.48</v>
      </c>
      <c r="W406" s="35">
        <v>17.76</v>
      </c>
      <c r="X406" s="34">
        <v>793.32</v>
      </c>
      <c r="Y406" s="31"/>
      <c r="Z406" s="31"/>
      <c r="AA406" s="31"/>
      <c r="AB406" s="31"/>
    </row>
    <row r="407" ht="14.5" customHeight="1" spans="2:28">
      <c r="B407" s="6" t="str">
        <f t="shared" si="6"/>
        <v>43115-DT1EJ20250101-A-JIEU8015558-PARTS</v>
      </c>
      <c r="C407" s="29" t="s">
        <v>80</v>
      </c>
      <c r="D407" s="30" t="s">
        <v>81</v>
      </c>
      <c r="E407" s="30" t="s">
        <v>82</v>
      </c>
      <c r="F407" s="30" t="s">
        <v>83</v>
      </c>
      <c r="G407" s="31" t="s">
        <v>84</v>
      </c>
      <c r="H407" s="31"/>
      <c r="I407" s="31" t="s">
        <v>85</v>
      </c>
      <c r="J407" s="31" t="s">
        <v>322</v>
      </c>
      <c r="K407" s="31" t="s">
        <v>326</v>
      </c>
      <c r="L407" s="31">
        <v>9025900008</v>
      </c>
      <c r="M407" s="32" t="s">
        <v>327</v>
      </c>
      <c r="N407" s="33" t="s">
        <v>328</v>
      </c>
      <c r="O407" s="31">
        <v>60</v>
      </c>
      <c r="P407" s="34">
        <v>71.37</v>
      </c>
      <c r="Q407" s="34">
        <v>343.2</v>
      </c>
      <c r="R407" s="34">
        <v>9.6</v>
      </c>
      <c r="S407" s="34">
        <v>77.25</v>
      </c>
      <c r="T407" s="35">
        <v>0.045</v>
      </c>
      <c r="U407" s="35">
        <v>2.7</v>
      </c>
      <c r="V407" s="35">
        <v>0.06</v>
      </c>
      <c r="W407" s="35">
        <v>3.6</v>
      </c>
      <c r="X407" s="34">
        <v>4635</v>
      </c>
      <c r="Y407" s="31"/>
      <c r="Z407" s="31"/>
      <c r="AA407" s="31"/>
      <c r="AB407" s="31"/>
    </row>
    <row r="408" ht="14.5" customHeight="1" spans="2:28">
      <c r="B408" s="6" t="str">
        <f t="shared" si="6"/>
        <v>43115-DT1EJ20250101-A-JIEU8015558-PARTS</v>
      </c>
      <c r="C408" t="s">
        <v>80</v>
      </c>
      <c r="D408" t="s">
        <v>81</v>
      </c>
      <c r="E408" t="s">
        <v>82</v>
      </c>
      <c r="F408" t="s">
        <v>83</v>
      </c>
      <c r="G408" s="1" t="s">
        <v>84</v>
      </c>
      <c r="I408" s="1" t="s">
        <v>85</v>
      </c>
      <c r="J408" s="1" t="s">
        <v>322</v>
      </c>
      <c r="K408" s="1" t="s">
        <v>326</v>
      </c>
      <c r="L408">
        <v>9025900008</v>
      </c>
      <c r="M408" s="2" t="s">
        <v>327</v>
      </c>
      <c r="N408" s="3" t="s">
        <v>328</v>
      </c>
      <c r="O408" s="1">
        <v>60</v>
      </c>
      <c r="P408" s="4">
        <v>71.37</v>
      </c>
      <c r="Q408" s="4">
        <v>343.2</v>
      </c>
      <c r="R408" s="4">
        <v>9.6</v>
      </c>
      <c r="S408" s="4">
        <v>77.25</v>
      </c>
      <c r="T408" s="5">
        <v>0.045</v>
      </c>
      <c r="U408" s="5">
        <v>2.7</v>
      </c>
      <c r="V408" s="5">
        <v>0.06</v>
      </c>
      <c r="W408" s="5">
        <v>3.6</v>
      </c>
      <c r="X408" s="4">
        <v>4635</v>
      </c>
    </row>
    <row r="409" ht="14.5" customHeight="1" spans="2:28">
      <c r="B409" s="6" t="str">
        <f t="shared" si="6"/>
        <v>43115-DT1EJ20250101-A-JIEU8015558-PARTS</v>
      </c>
      <c r="C409" t="s">
        <v>80</v>
      </c>
      <c r="D409" t="s">
        <v>81</v>
      </c>
      <c r="E409" t="s">
        <v>82</v>
      </c>
      <c r="F409" t="s">
        <v>83</v>
      </c>
      <c r="G409" s="1" t="s">
        <v>84</v>
      </c>
      <c r="I409" s="1" t="s">
        <v>85</v>
      </c>
      <c r="J409" s="1" t="s">
        <v>322</v>
      </c>
      <c r="K409" s="1" t="s">
        <v>329</v>
      </c>
      <c r="L409">
        <v>8481807900</v>
      </c>
      <c r="M409" s="2" t="s">
        <v>330</v>
      </c>
      <c r="N409" s="3" t="s">
        <v>331</v>
      </c>
      <c r="O409" s="1">
        <v>60</v>
      </c>
      <c r="P409" s="4">
        <v>99.9</v>
      </c>
      <c r="Q409" s="4">
        <v>480.6</v>
      </c>
      <c r="R409" s="4">
        <v>13.8</v>
      </c>
      <c r="S409" s="4">
        <v>108.14</v>
      </c>
      <c r="T409" s="5">
        <v>0.135</v>
      </c>
      <c r="U409" s="5">
        <v>8.1</v>
      </c>
      <c r="V409" s="5">
        <v>0.18</v>
      </c>
      <c r="W409" s="5">
        <v>10.8</v>
      </c>
      <c r="X409" s="4">
        <v>6488.4</v>
      </c>
    </row>
    <row r="410" ht="14.5" customHeight="1" spans="2:28">
      <c r="B410" s="6" t="str">
        <f t="shared" si="6"/>
        <v>43115-DT1EJ20250101-A-JIEU8015558-PARTS</v>
      </c>
      <c r="C410" t="s">
        <v>80</v>
      </c>
      <c r="D410" t="s">
        <v>81</v>
      </c>
      <c r="E410" t="s">
        <v>82</v>
      </c>
      <c r="F410" t="s">
        <v>83</v>
      </c>
      <c r="G410" s="1" t="s">
        <v>84</v>
      </c>
      <c r="I410" s="1" t="s">
        <v>85</v>
      </c>
      <c r="J410" s="1" t="s">
        <v>322</v>
      </c>
      <c r="K410" s="1" t="s">
        <v>329</v>
      </c>
      <c r="L410">
        <v>8481807900</v>
      </c>
      <c r="M410" s="2" t="s">
        <v>330</v>
      </c>
      <c r="N410" s="3" t="s">
        <v>331</v>
      </c>
      <c r="O410" s="1">
        <v>60</v>
      </c>
      <c r="P410" s="4">
        <v>99.9</v>
      </c>
      <c r="Q410" s="4">
        <v>480.6</v>
      </c>
      <c r="R410" s="4">
        <v>13.8</v>
      </c>
      <c r="S410" s="4">
        <v>108.14</v>
      </c>
      <c r="T410" s="5">
        <v>0.135</v>
      </c>
      <c r="U410" s="5">
        <v>8.1</v>
      </c>
      <c r="V410" s="5">
        <v>0.18</v>
      </c>
      <c r="W410" s="5">
        <v>10.8</v>
      </c>
      <c r="X410" s="4">
        <v>6488.4</v>
      </c>
    </row>
    <row r="411" ht="14.5" customHeight="1" spans="2:28">
      <c r="B411" s="6" t="str">
        <f t="shared" si="6"/>
        <v>43115-DT1EJ20250101-A-JIEU8015558-PARTS</v>
      </c>
      <c r="C411" s="29" t="s">
        <v>80</v>
      </c>
      <c r="D411" s="30" t="s">
        <v>81</v>
      </c>
      <c r="E411" s="30" t="s">
        <v>82</v>
      </c>
      <c r="F411" s="30" t="s">
        <v>83</v>
      </c>
      <c r="G411" s="31" t="s">
        <v>84</v>
      </c>
      <c r="H411" s="31"/>
      <c r="I411" s="31" t="s">
        <v>85</v>
      </c>
      <c r="J411" s="31" t="s">
        <v>322</v>
      </c>
      <c r="K411" s="31" t="s">
        <v>332</v>
      </c>
      <c r="L411" s="31">
        <v>8708999709</v>
      </c>
      <c r="M411" s="32" t="s">
        <v>333</v>
      </c>
      <c r="N411" s="33" t="s">
        <v>334</v>
      </c>
      <c r="O411" s="31">
        <v>60</v>
      </c>
      <c r="P411" s="34">
        <v>26.63</v>
      </c>
      <c r="Q411" s="34">
        <v>127.8</v>
      </c>
      <c r="R411" s="34">
        <v>3.6</v>
      </c>
      <c r="S411" s="34">
        <v>28.82</v>
      </c>
      <c r="T411" s="35">
        <v>0.065</v>
      </c>
      <c r="U411" s="35">
        <v>3.9</v>
      </c>
      <c r="V411" s="35">
        <v>0.09</v>
      </c>
      <c r="W411" s="35">
        <v>5.4</v>
      </c>
      <c r="X411" s="34">
        <v>1729.2</v>
      </c>
      <c r="Y411" s="31"/>
      <c r="Z411" s="31"/>
      <c r="AA411" s="31"/>
      <c r="AB411" s="31"/>
    </row>
    <row r="412" ht="14.5" customHeight="1" spans="2:28">
      <c r="B412" s="6" t="str">
        <f t="shared" si="6"/>
        <v>43115-DT1EJ20250101-A-JIEU8015558-PARTS</v>
      </c>
      <c r="C412" t="s">
        <v>80</v>
      </c>
      <c r="D412" t="s">
        <v>81</v>
      </c>
      <c r="E412" t="s">
        <v>82</v>
      </c>
      <c r="F412" t="s">
        <v>83</v>
      </c>
      <c r="G412" s="1" t="s">
        <v>84</v>
      </c>
      <c r="I412" s="1" t="s">
        <v>85</v>
      </c>
      <c r="J412" s="1" t="s">
        <v>322</v>
      </c>
      <c r="K412" s="1" t="s">
        <v>332</v>
      </c>
      <c r="L412">
        <v>8708999709</v>
      </c>
      <c r="M412" s="2" t="s">
        <v>333</v>
      </c>
      <c r="N412" s="3" t="s">
        <v>334</v>
      </c>
      <c r="O412" s="1">
        <v>60</v>
      </c>
      <c r="P412" s="4">
        <v>26.63</v>
      </c>
      <c r="Q412" s="4">
        <v>127.8</v>
      </c>
      <c r="R412" s="4">
        <v>3.6</v>
      </c>
      <c r="S412" s="4">
        <v>28.82</v>
      </c>
      <c r="T412" s="5">
        <v>0.065</v>
      </c>
      <c r="U412" s="5">
        <v>3.9</v>
      </c>
      <c r="V412" s="5">
        <v>0.09</v>
      </c>
      <c r="W412" s="5">
        <v>5.4</v>
      </c>
      <c r="X412" s="4">
        <v>1729.2</v>
      </c>
    </row>
    <row r="413" ht="14.5" customHeight="1" spans="2:28">
      <c r="B413" s="6" t="str">
        <f t="shared" si="6"/>
        <v>43115-DT1EJ20250101-A-JIEU8015558-PARTS</v>
      </c>
      <c r="C413" s="29" t="s">
        <v>80</v>
      </c>
      <c r="D413" s="30" t="s">
        <v>81</v>
      </c>
      <c r="E413" s="30" t="s">
        <v>82</v>
      </c>
      <c r="F413" s="30" t="s">
        <v>83</v>
      </c>
      <c r="G413" s="31" t="s">
        <v>84</v>
      </c>
      <c r="H413" s="31"/>
      <c r="I413" s="31" t="s">
        <v>85</v>
      </c>
      <c r="J413" s="31" t="s">
        <v>322</v>
      </c>
      <c r="K413" s="31" t="s">
        <v>335</v>
      </c>
      <c r="L413" s="31">
        <v>4009320000</v>
      </c>
      <c r="M413" s="32" t="s">
        <v>336</v>
      </c>
      <c r="N413" s="33" t="s">
        <v>337</v>
      </c>
      <c r="O413" s="31">
        <v>30</v>
      </c>
      <c r="P413" s="34">
        <v>59.38</v>
      </c>
      <c r="Q413" s="34">
        <v>142.8</v>
      </c>
      <c r="R413" s="34">
        <v>4.2</v>
      </c>
      <c r="S413" s="34">
        <v>64.28</v>
      </c>
      <c r="T413" s="35">
        <v>0.114</v>
      </c>
      <c r="U413" s="35">
        <v>3.42</v>
      </c>
      <c r="V413" s="35">
        <v>0.16</v>
      </c>
      <c r="W413" s="35">
        <v>4.8</v>
      </c>
      <c r="X413" s="34">
        <v>1928.4</v>
      </c>
      <c r="Y413" s="31"/>
      <c r="Z413" s="31"/>
      <c r="AA413" s="31"/>
      <c r="AB413" s="31"/>
    </row>
    <row r="414" customHeight="1" spans="2:28">
      <c r="B414" s="6" t="str">
        <f t="shared" si="6"/>
        <v>43115-DT1EJ20250101-A-JIEU8015558-PARTS</v>
      </c>
      <c r="C414" s="29" t="s">
        <v>80</v>
      </c>
      <c r="D414" s="30" t="s">
        <v>81</v>
      </c>
      <c r="E414" s="30" t="s">
        <v>82</v>
      </c>
      <c r="F414" s="30" t="s">
        <v>83</v>
      </c>
      <c r="G414" s="31" t="s">
        <v>84</v>
      </c>
      <c r="H414" s="31"/>
      <c r="I414" s="31" t="s">
        <v>85</v>
      </c>
      <c r="J414" s="31" t="s">
        <v>322</v>
      </c>
      <c r="K414" s="31" t="s">
        <v>335</v>
      </c>
      <c r="L414" s="31">
        <v>4009320000</v>
      </c>
      <c r="M414" s="32" t="s">
        <v>336</v>
      </c>
      <c r="N414" s="33" t="s">
        <v>337</v>
      </c>
      <c r="O414" s="31">
        <v>30</v>
      </c>
      <c r="P414" s="34">
        <v>59.38</v>
      </c>
      <c r="Q414" s="34">
        <v>142.8</v>
      </c>
      <c r="R414" s="34">
        <v>4.2</v>
      </c>
      <c r="S414" s="34">
        <v>64.28</v>
      </c>
      <c r="T414" s="35">
        <v>0.114</v>
      </c>
      <c r="U414" s="35">
        <v>3.42</v>
      </c>
      <c r="V414" s="35">
        <v>0.16</v>
      </c>
      <c r="W414" s="35">
        <v>4.8</v>
      </c>
      <c r="X414" s="34">
        <v>1928.4</v>
      </c>
      <c r="Y414" s="31"/>
      <c r="Z414" s="31"/>
      <c r="AA414" s="31"/>
      <c r="AB414" s="31"/>
    </row>
    <row r="415" customHeight="1" spans="2:28">
      <c r="B415" s="6" t="str">
        <f t="shared" si="6"/>
        <v>43115-DT1EJ20250101-A-JIEU8015558-PARTS</v>
      </c>
      <c r="C415" s="29" t="s">
        <v>80</v>
      </c>
      <c r="D415" s="30" t="s">
        <v>81</v>
      </c>
      <c r="E415" s="30" t="s">
        <v>82</v>
      </c>
      <c r="F415" s="30" t="s">
        <v>83</v>
      </c>
      <c r="G415" s="31" t="s">
        <v>84</v>
      </c>
      <c r="H415" s="31"/>
      <c r="I415" s="31" t="s">
        <v>85</v>
      </c>
      <c r="J415" s="31" t="s">
        <v>322</v>
      </c>
      <c r="K415" s="31" t="s">
        <v>335</v>
      </c>
      <c r="L415" s="31">
        <v>4009320000</v>
      </c>
      <c r="M415" s="32" t="s">
        <v>336</v>
      </c>
      <c r="N415" s="33" t="s">
        <v>337</v>
      </c>
      <c r="O415" s="31">
        <v>30</v>
      </c>
      <c r="P415" s="34">
        <v>59.38</v>
      </c>
      <c r="Q415" s="34">
        <v>142.8</v>
      </c>
      <c r="R415" s="34">
        <v>4.2</v>
      </c>
      <c r="S415" s="34">
        <v>64.28</v>
      </c>
      <c r="T415" s="35">
        <v>0.114</v>
      </c>
      <c r="U415" s="35">
        <v>3.42</v>
      </c>
      <c r="V415" s="35">
        <v>0.16</v>
      </c>
      <c r="W415" s="35">
        <v>4.8</v>
      </c>
      <c r="X415" s="34">
        <v>1928.4</v>
      </c>
      <c r="Y415" s="31"/>
      <c r="Z415" s="31"/>
      <c r="AA415" s="31"/>
      <c r="AB415" s="31"/>
    </row>
    <row r="416" customHeight="1" spans="2:28">
      <c r="B416" s="6" t="str">
        <f t="shared" si="6"/>
        <v>43115-DT1EJ20250101-A-JIEU8015558-PARTS</v>
      </c>
      <c r="C416" s="29" t="s">
        <v>80</v>
      </c>
      <c r="D416" s="30" t="s">
        <v>81</v>
      </c>
      <c r="E416" s="30" t="s">
        <v>82</v>
      </c>
      <c r="F416" s="30" t="s">
        <v>83</v>
      </c>
      <c r="G416" s="31" t="s">
        <v>84</v>
      </c>
      <c r="H416" s="31"/>
      <c r="I416" s="31" t="s">
        <v>85</v>
      </c>
      <c r="J416" s="31" t="s">
        <v>322</v>
      </c>
      <c r="K416" s="31" t="s">
        <v>335</v>
      </c>
      <c r="L416" s="31">
        <v>4009320000</v>
      </c>
      <c r="M416" s="32" t="s">
        <v>336</v>
      </c>
      <c r="N416" s="33" t="s">
        <v>337</v>
      </c>
      <c r="O416" s="31">
        <v>30</v>
      </c>
      <c r="P416" s="34">
        <v>59.38</v>
      </c>
      <c r="Q416" s="34">
        <v>142.8</v>
      </c>
      <c r="R416" s="34">
        <v>4.2</v>
      </c>
      <c r="S416" s="34">
        <v>64.28</v>
      </c>
      <c r="T416" s="35">
        <v>0.114</v>
      </c>
      <c r="U416" s="35">
        <v>3.42</v>
      </c>
      <c r="V416" s="35">
        <v>0.16</v>
      </c>
      <c r="W416" s="35">
        <v>4.8</v>
      </c>
      <c r="X416" s="34">
        <v>1928.4</v>
      </c>
      <c r="Y416" s="31"/>
      <c r="Z416" s="31"/>
      <c r="AA416" s="31"/>
      <c r="AB416" s="31"/>
    </row>
    <row r="417" customHeight="1" spans="2:28">
      <c r="B417" s="6" t="str">
        <f t="shared" si="6"/>
        <v>43115-DT1EJ20250101-A-JIEU8015558-PARTS</v>
      </c>
      <c r="C417" s="29" t="s">
        <v>80</v>
      </c>
      <c r="D417" s="30" t="s">
        <v>81</v>
      </c>
      <c r="E417" s="30" t="s">
        <v>82</v>
      </c>
      <c r="F417" s="30" t="s">
        <v>83</v>
      </c>
      <c r="G417" s="31" t="s">
        <v>84</v>
      </c>
      <c r="H417" s="31"/>
      <c r="I417" s="31" t="s">
        <v>85</v>
      </c>
      <c r="J417" s="31" t="s">
        <v>322</v>
      </c>
      <c r="K417" s="31" t="s">
        <v>338</v>
      </c>
      <c r="L417" s="31">
        <v>4009320000</v>
      </c>
      <c r="M417" s="32" t="s">
        <v>339</v>
      </c>
      <c r="N417" s="33" t="s">
        <v>340</v>
      </c>
      <c r="O417" s="31">
        <v>30</v>
      </c>
      <c r="P417" s="34">
        <v>76.38</v>
      </c>
      <c r="Q417" s="34">
        <v>183.6</v>
      </c>
      <c r="R417" s="34">
        <v>5.4</v>
      </c>
      <c r="S417" s="34">
        <v>82.68</v>
      </c>
      <c r="T417" s="35">
        <v>0.54</v>
      </c>
      <c r="U417" s="35">
        <v>16.2</v>
      </c>
      <c r="V417" s="35">
        <v>0.74</v>
      </c>
      <c r="W417" s="35">
        <v>22.2</v>
      </c>
      <c r="X417" s="34">
        <v>2480.4</v>
      </c>
      <c r="Y417" s="31"/>
      <c r="Z417" s="31"/>
      <c r="AA417" s="31"/>
      <c r="AB417" s="31"/>
    </row>
    <row r="418" customHeight="1" spans="2:28">
      <c r="B418" s="6" t="str">
        <f t="shared" si="6"/>
        <v>43115-DT1EJ20250101-A-JIEU8015558-PARTS</v>
      </c>
      <c r="C418" s="29" t="s">
        <v>80</v>
      </c>
      <c r="D418" s="30" t="s">
        <v>81</v>
      </c>
      <c r="E418" s="30" t="s">
        <v>82</v>
      </c>
      <c r="F418" s="30" t="s">
        <v>83</v>
      </c>
      <c r="G418" s="31" t="s">
        <v>84</v>
      </c>
      <c r="H418" s="31"/>
      <c r="I418" s="31" t="s">
        <v>85</v>
      </c>
      <c r="J418" s="31" t="s">
        <v>322</v>
      </c>
      <c r="K418" s="31" t="s">
        <v>338</v>
      </c>
      <c r="L418" s="31">
        <v>4009320000</v>
      </c>
      <c r="M418" s="32" t="s">
        <v>339</v>
      </c>
      <c r="N418" s="33" t="s">
        <v>340</v>
      </c>
      <c r="O418" s="31">
        <v>30</v>
      </c>
      <c r="P418" s="34">
        <v>76.38</v>
      </c>
      <c r="Q418" s="34">
        <v>183.6</v>
      </c>
      <c r="R418" s="34">
        <v>5.4</v>
      </c>
      <c r="S418" s="34">
        <v>82.68</v>
      </c>
      <c r="T418" s="35">
        <v>0.54</v>
      </c>
      <c r="U418" s="35">
        <v>16.2</v>
      </c>
      <c r="V418" s="35">
        <v>0.74</v>
      </c>
      <c r="W418" s="35">
        <v>22.2</v>
      </c>
      <c r="X418" s="34">
        <v>2480.4</v>
      </c>
      <c r="Y418" s="31"/>
      <c r="Z418" s="31"/>
      <c r="AA418" s="31"/>
      <c r="AB418" s="31"/>
    </row>
    <row r="419" customHeight="1" spans="2:28">
      <c r="B419" s="6" t="str">
        <f t="shared" si="6"/>
        <v>43115-DT1EJ20250101-A-JIEU8015558-PARTS</v>
      </c>
      <c r="C419" t="s">
        <v>80</v>
      </c>
      <c r="D419" t="s">
        <v>81</v>
      </c>
      <c r="E419" t="s">
        <v>82</v>
      </c>
      <c r="F419" t="s">
        <v>83</v>
      </c>
      <c r="G419" s="1" t="s">
        <v>84</v>
      </c>
      <c r="I419" s="1" t="s">
        <v>85</v>
      </c>
      <c r="J419" s="1" t="s">
        <v>322</v>
      </c>
      <c r="K419" s="1" t="s">
        <v>338</v>
      </c>
      <c r="L419">
        <v>4009320000</v>
      </c>
      <c r="M419" s="2" t="s">
        <v>339</v>
      </c>
      <c r="N419" s="3" t="s">
        <v>340</v>
      </c>
      <c r="O419" s="1">
        <v>30</v>
      </c>
      <c r="P419" s="4">
        <v>76.38</v>
      </c>
      <c r="Q419" s="4">
        <v>183.6</v>
      </c>
      <c r="R419" s="4">
        <v>5.4</v>
      </c>
      <c r="S419" s="4">
        <v>82.68</v>
      </c>
      <c r="T419" s="5">
        <v>0.54</v>
      </c>
      <c r="U419" s="5">
        <v>16.2</v>
      </c>
      <c r="V419" s="5">
        <v>0.74</v>
      </c>
      <c r="W419" s="5">
        <v>22.2</v>
      </c>
      <c r="X419" s="4">
        <v>2480.4</v>
      </c>
    </row>
    <row r="420" customHeight="1" spans="2:28">
      <c r="B420" s="6" t="str">
        <f t="shared" si="6"/>
        <v>43115-DT1EJ20250101-A-JIEU8015558-PARTS</v>
      </c>
      <c r="C420" t="s">
        <v>80</v>
      </c>
      <c r="D420" t="s">
        <v>81</v>
      </c>
      <c r="E420" t="s">
        <v>82</v>
      </c>
      <c r="F420" t="s">
        <v>83</v>
      </c>
      <c r="G420" s="1" t="s">
        <v>84</v>
      </c>
      <c r="I420" s="1" t="s">
        <v>85</v>
      </c>
      <c r="J420" s="1" t="s">
        <v>322</v>
      </c>
      <c r="K420" s="1" t="s">
        <v>338</v>
      </c>
      <c r="L420">
        <v>4009320000</v>
      </c>
      <c r="M420" s="2" t="s">
        <v>339</v>
      </c>
      <c r="N420" s="3" t="s">
        <v>340</v>
      </c>
      <c r="O420" s="1">
        <v>30</v>
      </c>
      <c r="P420" s="4">
        <v>76.38</v>
      </c>
      <c r="Q420" s="4">
        <v>183.6</v>
      </c>
      <c r="R420" s="4">
        <v>5.4</v>
      </c>
      <c r="S420" s="4">
        <v>82.68</v>
      </c>
      <c r="T420" s="5">
        <v>0.54</v>
      </c>
      <c r="U420" s="5">
        <v>16.2</v>
      </c>
      <c r="V420" s="5">
        <v>0.74</v>
      </c>
      <c r="W420" s="5">
        <v>22.2</v>
      </c>
      <c r="X420" s="4">
        <v>2480.4</v>
      </c>
    </row>
    <row r="421" customHeight="1" spans="2:28">
      <c r="B421" s="6" t="str">
        <f t="shared" si="6"/>
        <v>43115-DT1EJ20250101-A-JIEU8015558-PARTS</v>
      </c>
      <c r="C421" t="s">
        <v>80</v>
      </c>
      <c r="D421" t="s">
        <v>81</v>
      </c>
      <c r="E421" t="s">
        <v>82</v>
      </c>
      <c r="F421" t="s">
        <v>83</v>
      </c>
      <c r="G421" s="1" t="s">
        <v>84</v>
      </c>
      <c r="I421" s="1" t="s">
        <v>85</v>
      </c>
      <c r="J421" s="1" t="s">
        <v>341</v>
      </c>
      <c r="K421" s="1" t="s">
        <v>342</v>
      </c>
      <c r="L421">
        <v>8708405009</v>
      </c>
      <c r="M421" s="2" t="s">
        <v>343</v>
      </c>
      <c r="N421" s="3" t="s">
        <v>344</v>
      </c>
      <c r="O421" s="1">
        <v>10</v>
      </c>
      <c r="P421" s="4">
        <v>9620.58</v>
      </c>
      <c r="Q421" s="4">
        <v>7711.3</v>
      </c>
      <c r="R421" s="4">
        <v>214.8</v>
      </c>
      <c r="S421" s="4">
        <v>10413.19</v>
      </c>
      <c r="T421" s="5">
        <v>73</v>
      </c>
      <c r="U421" s="5">
        <v>730</v>
      </c>
      <c r="V421" s="5">
        <v>76.17</v>
      </c>
      <c r="W421" s="5">
        <v>761.7</v>
      </c>
      <c r="X421" s="4">
        <v>104131.9</v>
      </c>
      <c r="Y421">
        <v>2280</v>
      </c>
      <c r="Z421">
        <v>1350</v>
      </c>
      <c r="AA421">
        <v>625</v>
      </c>
      <c r="AB421" s="1">
        <v>1.92</v>
      </c>
    </row>
    <row r="422" customHeight="1" spans="2:28">
      <c r="B422" s="6" t="str">
        <f t="shared" si="6"/>
        <v>43115-DT1EJ20250101-A-JIEU8015558-PARTS</v>
      </c>
      <c r="C422" s="29" t="s">
        <v>80</v>
      </c>
      <c r="D422" s="30" t="s">
        <v>81</v>
      </c>
      <c r="E422" s="30" t="s">
        <v>82</v>
      </c>
      <c r="F422" s="30" t="s">
        <v>83</v>
      </c>
      <c r="G422" s="31" t="s">
        <v>84</v>
      </c>
      <c r="H422" s="31"/>
      <c r="I422" s="31" t="s">
        <v>85</v>
      </c>
      <c r="J422" s="31" t="s">
        <v>341</v>
      </c>
      <c r="K422" s="31" t="s">
        <v>345</v>
      </c>
      <c r="L422" s="31">
        <v>3917400009</v>
      </c>
      <c r="M422" s="32" t="s">
        <v>346</v>
      </c>
      <c r="N422" s="33" t="s">
        <v>347</v>
      </c>
      <c r="O422" s="31">
        <v>120</v>
      </c>
      <c r="P422" s="34">
        <v>26.16</v>
      </c>
      <c r="Q422" s="34">
        <v>252</v>
      </c>
      <c r="R422" s="34">
        <v>7.2</v>
      </c>
      <c r="S422" s="34">
        <v>28.32</v>
      </c>
      <c r="T422" s="35">
        <v>0.039</v>
      </c>
      <c r="U422" s="35">
        <v>4.68</v>
      </c>
      <c r="V422" s="35">
        <v>0.04</v>
      </c>
      <c r="W422" s="35">
        <v>4.8</v>
      </c>
      <c r="X422" s="34">
        <v>3398.4</v>
      </c>
      <c r="Y422" s="31"/>
      <c r="Z422" s="31"/>
      <c r="AA422" s="31"/>
      <c r="AB422" s="31"/>
    </row>
    <row r="423" customHeight="1" spans="2:28">
      <c r="B423" s="6" t="str">
        <f t="shared" si="6"/>
        <v>43115-DT1EJ20250101-A-JIEU8015558-PARTS</v>
      </c>
      <c r="C423" s="29" t="s">
        <v>80</v>
      </c>
      <c r="D423" s="30" t="s">
        <v>81</v>
      </c>
      <c r="E423" s="30" t="s">
        <v>82</v>
      </c>
      <c r="F423" s="30" t="s">
        <v>83</v>
      </c>
      <c r="G423" s="31" t="s">
        <v>84</v>
      </c>
      <c r="H423" s="31"/>
      <c r="I423" s="31" t="s">
        <v>85</v>
      </c>
      <c r="J423" s="31" t="s">
        <v>341</v>
      </c>
      <c r="K423" s="31" t="s">
        <v>348</v>
      </c>
      <c r="L423" s="31">
        <v>3917400009</v>
      </c>
      <c r="M423" s="32" t="s">
        <v>349</v>
      </c>
      <c r="N423" s="33" t="s">
        <v>350</v>
      </c>
      <c r="O423" s="31">
        <v>120</v>
      </c>
      <c r="P423" s="34">
        <v>24.92</v>
      </c>
      <c r="Q423" s="34">
        <v>240</v>
      </c>
      <c r="R423" s="34">
        <v>7.2</v>
      </c>
      <c r="S423" s="34">
        <v>26.98</v>
      </c>
      <c r="T423" s="35">
        <v>0.035</v>
      </c>
      <c r="U423" s="35">
        <v>4.2</v>
      </c>
      <c r="V423" s="35">
        <v>0.04</v>
      </c>
      <c r="W423" s="35">
        <v>4.8</v>
      </c>
      <c r="X423" s="34">
        <v>3237.6</v>
      </c>
      <c r="Y423" s="31"/>
      <c r="Z423" s="31"/>
      <c r="AA423" s="31"/>
      <c r="AB423" s="31"/>
    </row>
    <row r="424" customHeight="1" spans="2:28">
      <c r="B424" s="6" t="str">
        <f t="shared" si="6"/>
        <v>43115-DT1EJ20250101-A-JIEU8015558-PARTS</v>
      </c>
      <c r="C424" t="s">
        <v>80</v>
      </c>
      <c r="D424" t="s">
        <v>81</v>
      </c>
      <c r="E424" t="s">
        <v>82</v>
      </c>
      <c r="F424" t="s">
        <v>83</v>
      </c>
      <c r="G424" s="1" t="s">
        <v>84</v>
      </c>
      <c r="I424" s="1" t="s">
        <v>85</v>
      </c>
      <c r="J424" s="1" t="s">
        <v>351</v>
      </c>
      <c r="K424" s="1" t="s">
        <v>342</v>
      </c>
      <c r="L424">
        <v>8708405009</v>
      </c>
      <c r="M424" s="2" t="s">
        <v>343</v>
      </c>
      <c r="N424" s="3" t="s">
        <v>344</v>
      </c>
      <c r="O424" s="1">
        <v>10</v>
      </c>
      <c r="P424" s="4">
        <v>9620.58</v>
      </c>
      <c r="Q424" s="4">
        <v>7711.3</v>
      </c>
      <c r="R424" s="4">
        <v>214.8</v>
      </c>
      <c r="S424" s="4">
        <v>10413.19</v>
      </c>
      <c r="T424" s="5">
        <v>73</v>
      </c>
      <c r="U424" s="5">
        <v>730</v>
      </c>
      <c r="V424" s="5">
        <v>77.1</v>
      </c>
      <c r="W424" s="5">
        <v>771</v>
      </c>
      <c r="X424" s="4">
        <v>104131.9</v>
      </c>
      <c r="Y424">
        <v>2280</v>
      </c>
      <c r="Z424">
        <v>1350</v>
      </c>
      <c r="AA424">
        <v>625</v>
      </c>
      <c r="AB424" s="1">
        <v>1.92</v>
      </c>
    </row>
    <row r="425" customHeight="1" spans="2:28">
      <c r="B425" s="6" t="str">
        <f t="shared" si="6"/>
        <v>43115-DT1EJ20250101-A-JIEU8015558-PARTS</v>
      </c>
      <c r="C425" s="29" t="s">
        <v>80</v>
      </c>
      <c r="D425" s="30" t="s">
        <v>81</v>
      </c>
      <c r="E425" s="30" t="s">
        <v>82</v>
      </c>
      <c r="F425" s="30" t="s">
        <v>83</v>
      </c>
      <c r="G425" s="31" t="s">
        <v>84</v>
      </c>
      <c r="H425" s="31"/>
      <c r="I425" s="31" t="s">
        <v>85</v>
      </c>
      <c r="J425" s="31" t="s">
        <v>352</v>
      </c>
      <c r="K425" s="31" t="s">
        <v>342</v>
      </c>
      <c r="L425" s="31">
        <v>8708405009</v>
      </c>
      <c r="M425" s="32" t="s">
        <v>343</v>
      </c>
      <c r="N425" s="33" t="s">
        <v>344</v>
      </c>
      <c r="O425" s="31">
        <v>10</v>
      </c>
      <c r="P425" s="34">
        <v>9620.58</v>
      </c>
      <c r="Q425" s="34">
        <v>7711.3</v>
      </c>
      <c r="R425" s="34">
        <v>214.8</v>
      </c>
      <c r="S425" s="34">
        <v>10413.19</v>
      </c>
      <c r="T425" s="35">
        <v>73</v>
      </c>
      <c r="U425" s="35">
        <v>730</v>
      </c>
      <c r="V425" s="35">
        <v>77.1</v>
      </c>
      <c r="W425" s="35">
        <v>771</v>
      </c>
      <c r="X425" s="34">
        <v>104131.9</v>
      </c>
      <c r="Y425" s="31">
        <v>2280</v>
      </c>
      <c r="Z425" s="31">
        <v>1350</v>
      </c>
      <c r="AA425" s="31">
        <v>625</v>
      </c>
      <c r="AB425" s="31">
        <v>1.92</v>
      </c>
    </row>
    <row r="426" customHeight="1" spans="2:28">
      <c r="B426" s="6" t="str">
        <f t="shared" si="6"/>
        <v>43115-DT1EJ20250101-A-JIEU8015558-PARTS</v>
      </c>
      <c r="C426" s="29" t="s">
        <v>80</v>
      </c>
      <c r="D426" s="30" t="s">
        <v>81</v>
      </c>
      <c r="E426" s="30" t="s">
        <v>82</v>
      </c>
      <c r="F426" s="30" t="s">
        <v>83</v>
      </c>
      <c r="G426" s="31" t="s">
        <v>84</v>
      </c>
      <c r="H426" s="31"/>
      <c r="I426" s="31" t="s">
        <v>85</v>
      </c>
      <c r="J426" s="31" t="s">
        <v>353</v>
      </c>
      <c r="K426" s="31" t="s">
        <v>342</v>
      </c>
      <c r="L426" s="31">
        <v>8708405009</v>
      </c>
      <c r="M426" s="32" t="s">
        <v>343</v>
      </c>
      <c r="N426" s="33" t="s">
        <v>344</v>
      </c>
      <c r="O426" s="31">
        <v>10</v>
      </c>
      <c r="P426" s="34">
        <v>9620.58</v>
      </c>
      <c r="Q426" s="34">
        <v>7711.3</v>
      </c>
      <c r="R426" s="34">
        <v>214.8</v>
      </c>
      <c r="S426" s="34">
        <v>10413.19</v>
      </c>
      <c r="T426" s="35">
        <v>73</v>
      </c>
      <c r="U426" s="35">
        <v>730</v>
      </c>
      <c r="V426" s="35">
        <v>77.1</v>
      </c>
      <c r="W426" s="35">
        <v>771</v>
      </c>
      <c r="X426" s="34">
        <v>104131.9</v>
      </c>
      <c r="Y426" s="31">
        <v>2280</v>
      </c>
      <c r="Z426" s="31">
        <v>1350</v>
      </c>
      <c r="AA426" s="31">
        <v>625</v>
      </c>
      <c r="AB426" s="31">
        <v>1.92</v>
      </c>
    </row>
    <row r="427" customHeight="1" spans="2:28">
      <c r="B427" s="6" t="str">
        <f t="shared" si="6"/>
        <v>43115-DT1EJ20250101-A-JIEU8015558-PARTS</v>
      </c>
      <c r="C427" s="29" t="s">
        <v>80</v>
      </c>
      <c r="D427" s="30" t="s">
        <v>81</v>
      </c>
      <c r="E427" s="30" t="s">
        <v>82</v>
      </c>
      <c r="F427" s="30" t="s">
        <v>83</v>
      </c>
      <c r="G427" s="31" t="s">
        <v>84</v>
      </c>
      <c r="H427" s="31"/>
      <c r="I427" s="31" t="s">
        <v>85</v>
      </c>
      <c r="J427" s="31" t="s">
        <v>354</v>
      </c>
      <c r="K427" s="31" t="s">
        <v>342</v>
      </c>
      <c r="L427" s="31">
        <v>8708405009</v>
      </c>
      <c r="M427" s="32" t="s">
        <v>343</v>
      </c>
      <c r="N427" s="33" t="s">
        <v>344</v>
      </c>
      <c r="O427" s="31">
        <v>10</v>
      </c>
      <c r="P427" s="34">
        <v>9620.58</v>
      </c>
      <c r="Q427" s="34">
        <v>7711.3</v>
      </c>
      <c r="R427" s="34">
        <v>214.8</v>
      </c>
      <c r="S427" s="34">
        <v>10413.19</v>
      </c>
      <c r="T427" s="35">
        <v>73</v>
      </c>
      <c r="U427" s="35">
        <v>730</v>
      </c>
      <c r="V427" s="35">
        <v>77.1</v>
      </c>
      <c r="W427" s="35">
        <v>771</v>
      </c>
      <c r="X427" s="34">
        <v>104131.9</v>
      </c>
      <c r="Y427" s="31">
        <v>2280</v>
      </c>
      <c r="Z427" s="31">
        <v>1350</v>
      </c>
      <c r="AA427" s="31">
        <v>625</v>
      </c>
      <c r="AB427" s="31">
        <v>1.92</v>
      </c>
    </row>
    <row r="428" customHeight="1" spans="2:28">
      <c r="B428" s="6" t="str">
        <f t="shared" si="6"/>
        <v>43115-DT1EJ20250101-A-JIEU8015558-PARTS</v>
      </c>
      <c r="C428" s="29" t="s">
        <v>80</v>
      </c>
      <c r="D428" s="30" t="s">
        <v>81</v>
      </c>
      <c r="E428" s="30" t="s">
        <v>82</v>
      </c>
      <c r="F428" s="30" t="s">
        <v>83</v>
      </c>
      <c r="G428" s="31" t="s">
        <v>84</v>
      </c>
      <c r="H428" s="31"/>
      <c r="I428" s="31" t="s">
        <v>85</v>
      </c>
      <c r="J428" s="31" t="s">
        <v>355</v>
      </c>
      <c r="K428" s="31" t="s">
        <v>342</v>
      </c>
      <c r="L428" s="31">
        <v>8708405009</v>
      </c>
      <c r="M428" s="32" t="s">
        <v>343</v>
      </c>
      <c r="N428" s="33" t="s">
        <v>344</v>
      </c>
      <c r="O428" s="31">
        <v>10</v>
      </c>
      <c r="P428" s="34">
        <v>9620.58</v>
      </c>
      <c r="Q428" s="34">
        <v>7711.3</v>
      </c>
      <c r="R428" s="34">
        <v>214.8</v>
      </c>
      <c r="S428" s="34">
        <v>10413.19</v>
      </c>
      <c r="T428" s="35">
        <v>73</v>
      </c>
      <c r="U428" s="35">
        <v>730</v>
      </c>
      <c r="V428" s="35">
        <v>77.1</v>
      </c>
      <c r="W428" s="35">
        <v>771</v>
      </c>
      <c r="X428" s="34">
        <v>104131.9</v>
      </c>
      <c r="Y428" s="31">
        <v>2280</v>
      </c>
      <c r="Z428" s="31">
        <v>1350</v>
      </c>
      <c r="AA428" s="31">
        <v>625</v>
      </c>
      <c r="AB428" s="31">
        <v>1.92</v>
      </c>
    </row>
    <row r="429" customHeight="1" spans="2:28">
      <c r="B429" s="6" t="str">
        <f t="shared" si="6"/>
        <v>43115-DT1EJ20250101-A-JIEU8015558-PARTS</v>
      </c>
      <c r="C429" s="29" t="s">
        <v>80</v>
      </c>
      <c r="D429" s="30" t="s">
        <v>81</v>
      </c>
      <c r="E429" s="30" t="s">
        <v>82</v>
      </c>
      <c r="F429" s="30" t="s">
        <v>83</v>
      </c>
      <c r="G429" s="31" t="s">
        <v>84</v>
      </c>
      <c r="H429" s="31"/>
      <c r="I429" s="31" t="s">
        <v>85</v>
      </c>
      <c r="J429" s="31" t="s">
        <v>356</v>
      </c>
      <c r="K429" s="31" t="s">
        <v>342</v>
      </c>
      <c r="L429" s="31">
        <v>8708405009</v>
      </c>
      <c r="M429" s="32" t="s">
        <v>343</v>
      </c>
      <c r="N429" s="33" t="s">
        <v>344</v>
      </c>
      <c r="O429" s="31">
        <v>10</v>
      </c>
      <c r="P429" s="34">
        <v>9620.58</v>
      </c>
      <c r="Q429" s="34">
        <v>7711.3</v>
      </c>
      <c r="R429" s="34">
        <v>214.8</v>
      </c>
      <c r="S429" s="34">
        <v>10413.19</v>
      </c>
      <c r="T429" s="35">
        <v>73</v>
      </c>
      <c r="U429" s="35">
        <v>730</v>
      </c>
      <c r="V429" s="35">
        <v>77.1</v>
      </c>
      <c r="W429" s="35">
        <v>771</v>
      </c>
      <c r="X429" s="34">
        <v>104131.9</v>
      </c>
      <c r="Y429" s="31">
        <v>2280</v>
      </c>
      <c r="Z429" s="31">
        <v>1350</v>
      </c>
      <c r="AA429" s="31">
        <v>625</v>
      </c>
      <c r="AB429" s="31">
        <v>1.92</v>
      </c>
    </row>
    <row r="430" customHeight="1" spans="2:28">
      <c r="B430" s="6" t="str">
        <f t="shared" si="6"/>
        <v>43115-DT1EJ20250101-A-JIEU8015558-PARTS</v>
      </c>
      <c r="C430" s="29" t="s">
        <v>80</v>
      </c>
      <c r="D430" s="30" t="s">
        <v>81</v>
      </c>
      <c r="E430" s="30" t="s">
        <v>82</v>
      </c>
      <c r="F430" s="30" t="s">
        <v>83</v>
      </c>
      <c r="G430" s="31" t="s">
        <v>84</v>
      </c>
      <c r="H430" s="31"/>
      <c r="I430" s="31" t="s">
        <v>85</v>
      </c>
      <c r="J430" s="31" t="s">
        <v>357</v>
      </c>
      <c r="K430" s="31" t="s">
        <v>342</v>
      </c>
      <c r="L430" s="31">
        <v>8708405009</v>
      </c>
      <c r="M430" s="32" t="s">
        <v>343</v>
      </c>
      <c r="N430" s="33" t="s">
        <v>344</v>
      </c>
      <c r="O430" s="31">
        <v>10</v>
      </c>
      <c r="P430" s="34">
        <v>9620.58</v>
      </c>
      <c r="Q430" s="34">
        <v>7711.3</v>
      </c>
      <c r="R430" s="34">
        <v>214.8</v>
      </c>
      <c r="S430" s="34">
        <v>10413.19</v>
      </c>
      <c r="T430" s="35">
        <v>73</v>
      </c>
      <c r="U430" s="35">
        <v>730</v>
      </c>
      <c r="V430" s="35">
        <v>77.1</v>
      </c>
      <c r="W430" s="35">
        <v>771</v>
      </c>
      <c r="X430" s="34">
        <v>104131.9</v>
      </c>
      <c r="Y430" s="31">
        <v>2280</v>
      </c>
      <c r="Z430" s="31">
        <v>1350</v>
      </c>
      <c r="AA430" s="31">
        <v>625</v>
      </c>
      <c r="AB430" s="31">
        <v>1.92</v>
      </c>
    </row>
    <row r="431" customHeight="1" spans="2:28">
      <c r="B431" s="6" t="str">
        <f t="shared" si="6"/>
        <v>43115-DT1EJ20250101-A-JIEU8015558-PARTS</v>
      </c>
      <c r="C431" s="29" t="s">
        <v>80</v>
      </c>
      <c r="D431" s="30" t="s">
        <v>81</v>
      </c>
      <c r="E431" s="30" t="s">
        <v>82</v>
      </c>
      <c r="F431" s="30" t="s">
        <v>83</v>
      </c>
      <c r="G431" s="31" t="s">
        <v>84</v>
      </c>
      <c r="H431" s="31"/>
      <c r="I431" s="31" t="s">
        <v>85</v>
      </c>
      <c r="J431" s="31" t="s">
        <v>358</v>
      </c>
      <c r="K431" s="31" t="s">
        <v>342</v>
      </c>
      <c r="L431" s="31">
        <v>8708405009</v>
      </c>
      <c r="M431" s="32" t="s">
        <v>343</v>
      </c>
      <c r="N431" s="33" t="s">
        <v>344</v>
      </c>
      <c r="O431" s="31">
        <v>10</v>
      </c>
      <c r="P431" s="34">
        <v>9620.58</v>
      </c>
      <c r="Q431" s="34">
        <v>7711.3</v>
      </c>
      <c r="R431" s="34">
        <v>214.8</v>
      </c>
      <c r="S431" s="34">
        <v>10413.19</v>
      </c>
      <c r="T431" s="35">
        <v>73</v>
      </c>
      <c r="U431" s="35">
        <v>730</v>
      </c>
      <c r="V431" s="35">
        <v>77.1</v>
      </c>
      <c r="W431" s="35">
        <v>771</v>
      </c>
      <c r="X431" s="34">
        <v>104131.9</v>
      </c>
      <c r="Y431" s="31">
        <v>2280</v>
      </c>
      <c r="Z431" s="31">
        <v>1350</v>
      </c>
      <c r="AA431" s="31">
        <v>625</v>
      </c>
      <c r="AB431" s="31">
        <v>1.92</v>
      </c>
    </row>
    <row r="432" customHeight="1" spans="2:28">
      <c r="B432" s="6" t="str">
        <f t="shared" si="6"/>
        <v>43115-DT1EJ20250101-A-JIEU8015558-PARTS</v>
      </c>
      <c r="C432" s="29" t="s">
        <v>80</v>
      </c>
      <c r="D432" s="30" t="s">
        <v>81</v>
      </c>
      <c r="E432" s="30" t="s">
        <v>82</v>
      </c>
      <c r="F432" s="30" t="s">
        <v>83</v>
      </c>
      <c r="G432" s="31" t="s">
        <v>84</v>
      </c>
      <c r="H432" s="31"/>
      <c r="I432" s="31" t="s">
        <v>85</v>
      </c>
      <c r="J432" s="31" t="s">
        <v>359</v>
      </c>
      <c r="K432" s="31" t="s">
        <v>342</v>
      </c>
      <c r="L432" s="31">
        <v>8708405009</v>
      </c>
      <c r="M432" s="32" t="s">
        <v>343</v>
      </c>
      <c r="N432" s="33" t="s">
        <v>344</v>
      </c>
      <c r="O432" s="31">
        <v>10</v>
      </c>
      <c r="P432" s="34">
        <v>9620.58</v>
      </c>
      <c r="Q432" s="34">
        <v>7711.3</v>
      </c>
      <c r="R432" s="34">
        <v>214.8</v>
      </c>
      <c r="S432" s="34">
        <v>10413.19</v>
      </c>
      <c r="T432" s="35">
        <v>73</v>
      </c>
      <c r="U432" s="35">
        <v>730</v>
      </c>
      <c r="V432" s="35">
        <v>77.1</v>
      </c>
      <c r="W432" s="35">
        <v>771</v>
      </c>
      <c r="X432" s="34">
        <v>104131.9</v>
      </c>
      <c r="Y432" s="31">
        <v>2280</v>
      </c>
      <c r="Z432" s="31">
        <v>1350</v>
      </c>
      <c r="AA432" s="31">
        <v>625</v>
      </c>
      <c r="AB432" s="31">
        <v>1.92</v>
      </c>
    </row>
    <row r="433" customHeight="1" spans="2:28">
      <c r="B433" s="6" t="str">
        <f t="shared" si="6"/>
        <v>43115-DT1EJ20250101-A-JIEU8015558-PARTS</v>
      </c>
      <c r="C433" s="29" t="s">
        <v>80</v>
      </c>
      <c r="D433" s="30" t="s">
        <v>81</v>
      </c>
      <c r="E433" s="30" t="s">
        <v>82</v>
      </c>
      <c r="F433" s="30" t="s">
        <v>83</v>
      </c>
      <c r="G433" s="31" t="s">
        <v>84</v>
      </c>
      <c r="H433" s="31"/>
      <c r="I433" s="31" t="s">
        <v>85</v>
      </c>
      <c r="J433" s="31" t="s">
        <v>360</v>
      </c>
      <c r="K433" s="31" t="s">
        <v>342</v>
      </c>
      <c r="L433" s="31">
        <v>8708405009</v>
      </c>
      <c r="M433" s="32" t="s">
        <v>343</v>
      </c>
      <c r="N433" s="33" t="s">
        <v>344</v>
      </c>
      <c r="O433" s="31">
        <v>10</v>
      </c>
      <c r="P433" s="34">
        <v>9620.58</v>
      </c>
      <c r="Q433" s="34">
        <v>7711.3</v>
      </c>
      <c r="R433" s="34">
        <v>214.8</v>
      </c>
      <c r="S433" s="34">
        <v>10413.19</v>
      </c>
      <c r="T433" s="35">
        <v>73</v>
      </c>
      <c r="U433" s="35">
        <v>730</v>
      </c>
      <c r="V433" s="35">
        <v>77.1</v>
      </c>
      <c r="W433" s="35">
        <v>771</v>
      </c>
      <c r="X433" s="34">
        <v>104131.9</v>
      </c>
      <c r="Y433" s="31">
        <v>2280</v>
      </c>
      <c r="Z433" s="31">
        <v>1350</v>
      </c>
      <c r="AA433" s="31">
        <v>625</v>
      </c>
      <c r="AB433" s="31">
        <v>1.92</v>
      </c>
    </row>
    <row r="434" customHeight="1" spans="2:28">
      <c r="B434" s="6" t="str">
        <f t="shared" si="6"/>
        <v>43115-DT1EJ20250101-A-JIEU8015558-PARTS</v>
      </c>
      <c r="C434" s="29" t="s">
        <v>80</v>
      </c>
      <c r="D434" s="30" t="s">
        <v>81</v>
      </c>
      <c r="E434" s="30" t="s">
        <v>82</v>
      </c>
      <c r="F434" s="30" t="s">
        <v>83</v>
      </c>
      <c r="G434" s="31" t="s">
        <v>84</v>
      </c>
      <c r="H434" s="31"/>
      <c r="I434" s="31" t="s">
        <v>85</v>
      </c>
      <c r="J434" s="31" t="s">
        <v>361</v>
      </c>
      <c r="K434" s="31" t="s">
        <v>342</v>
      </c>
      <c r="L434" s="31">
        <v>8708405009</v>
      </c>
      <c r="M434" s="32" t="s">
        <v>343</v>
      </c>
      <c r="N434" s="33" t="s">
        <v>344</v>
      </c>
      <c r="O434" s="31">
        <v>10</v>
      </c>
      <c r="P434" s="34">
        <v>9620.58</v>
      </c>
      <c r="Q434" s="34">
        <v>7711.3</v>
      </c>
      <c r="R434" s="34">
        <v>214.8</v>
      </c>
      <c r="S434" s="34">
        <v>10413.19</v>
      </c>
      <c r="T434" s="35">
        <v>73</v>
      </c>
      <c r="U434" s="35">
        <v>730</v>
      </c>
      <c r="V434" s="35">
        <v>77.1</v>
      </c>
      <c r="W434" s="35">
        <v>771</v>
      </c>
      <c r="X434" s="34">
        <v>104131.9</v>
      </c>
      <c r="Y434" s="31">
        <v>2280</v>
      </c>
      <c r="Z434" s="31">
        <v>1350</v>
      </c>
      <c r="AA434" s="31">
        <v>625</v>
      </c>
      <c r="AB434" s="31">
        <v>1.92</v>
      </c>
    </row>
    <row r="435" customHeight="1" spans="2:28">
      <c r="B435" s="6" t="str">
        <f t="shared" si="6"/>
        <v>43115-DT1EJ20250101-A-JIEU8015558-PARTS</v>
      </c>
      <c r="C435" t="s">
        <v>80</v>
      </c>
      <c r="D435" t="s">
        <v>81</v>
      </c>
      <c r="E435" t="s">
        <v>82</v>
      </c>
      <c r="F435" t="s">
        <v>83</v>
      </c>
      <c r="G435" s="1" t="s">
        <v>84</v>
      </c>
      <c r="I435" s="1" t="s">
        <v>85</v>
      </c>
      <c r="J435" s="1" t="s">
        <v>362</v>
      </c>
      <c r="K435" s="1" t="s">
        <v>363</v>
      </c>
      <c r="L435">
        <v>8708705009</v>
      </c>
      <c r="M435" s="2" t="s">
        <v>364</v>
      </c>
      <c r="N435" s="3" t="s">
        <v>365</v>
      </c>
      <c r="O435" s="1">
        <v>30</v>
      </c>
      <c r="P435" s="4">
        <v>972.17</v>
      </c>
      <c r="Q435" s="4">
        <v>2337.6</v>
      </c>
      <c r="R435" s="4">
        <v>67.2</v>
      </c>
      <c r="S435" s="4">
        <v>1052.33</v>
      </c>
      <c r="T435" s="5">
        <v>26.33</v>
      </c>
      <c r="U435" s="5">
        <v>789.9</v>
      </c>
      <c r="V435" s="5">
        <v>27.33</v>
      </c>
      <c r="W435" s="5">
        <v>819.9</v>
      </c>
      <c r="X435" s="4">
        <v>31569.9</v>
      </c>
      <c r="Y435">
        <v>2280</v>
      </c>
      <c r="Z435">
        <v>1480</v>
      </c>
      <c r="AA435">
        <v>1300</v>
      </c>
      <c r="AB435" s="1">
        <v>4.39</v>
      </c>
    </row>
    <row r="436" customHeight="1" spans="2:28">
      <c r="B436" s="6" t="str">
        <f t="shared" si="6"/>
        <v>43115-DT1EJ20250101-A-JIEU8017273-PARTS</v>
      </c>
      <c r="C436" s="29" t="s">
        <v>80</v>
      </c>
      <c r="D436" s="30" t="s">
        <v>81</v>
      </c>
      <c r="E436" s="30" t="s">
        <v>366</v>
      </c>
      <c r="F436" s="30" t="s">
        <v>367</v>
      </c>
      <c r="G436" s="31" t="s">
        <v>84</v>
      </c>
      <c r="H436" s="31"/>
      <c r="I436" s="31" t="s">
        <v>85</v>
      </c>
      <c r="J436" s="31" t="s">
        <v>368</v>
      </c>
      <c r="K436" s="31" t="s">
        <v>369</v>
      </c>
      <c r="L436" s="31">
        <v>8708999709</v>
      </c>
      <c r="M436" s="32" t="s">
        <v>370</v>
      </c>
      <c r="N436" s="33" t="s">
        <v>334</v>
      </c>
      <c r="O436" s="31">
        <v>60</v>
      </c>
      <c r="P436" s="34">
        <v>211.21</v>
      </c>
      <c r="Q436" s="34">
        <v>1015.8</v>
      </c>
      <c r="R436" s="34">
        <v>29.4</v>
      </c>
      <c r="S436" s="34">
        <v>228.63</v>
      </c>
      <c r="T436" s="35">
        <v>0.337</v>
      </c>
      <c r="U436" s="35">
        <v>20.22</v>
      </c>
      <c r="V436" s="35">
        <v>0.66</v>
      </c>
      <c r="W436" s="35">
        <v>39.6</v>
      </c>
      <c r="X436" s="34">
        <v>13717.8</v>
      </c>
      <c r="Y436" s="31">
        <v>2280</v>
      </c>
      <c r="Z436" s="31">
        <v>1480</v>
      </c>
      <c r="AA436" s="31">
        <v>850</v>
      </c>
      <c r="AB436" s="31">
        <v>2.87</v>
      </c>
    </row>
    <row r="437" customHeight="1" spans="2:28">
      <c r="B437" s="6" t="str">
        <f t="shared" si="6"/>
        <v>43115-DT1EJ20250101-A-JIEU8017273-PARTS</v>
      </c>
      <c r="C437" t="s">
        <v>80</v>
      </c>
      <c r="D437" t="s">
        <v>81</v>
      </c>
      <c r="E437" t="s">
        <v>366</v>
      </c>
      <c r="F437" t="s">
        <v>367</v>
      </c>
      <c r="G437" s="1" t="s">
        <v>84</v>
      </c>
      <c r="I437" s="1" t="s">
        <v>85</v>
      </c>
      <c r="J437" s="1" t="s">
        <v>368</v>
      </c>
      <c r="K437" s="1" t="s">
        <v>371</v>
      </c>
      <c r="L437">
        <v>8708309109</v>
      </c>
      <c r="M437" s="2" t="s">
        <v>372</v>
      </c>
      <c r="N437" s="3" t="s">
        <v>373</v>
      </c>
      <c r="O437" s="1">
        <v>60</v>
      </c>
      <c r="P437" s="4">
        <v>39.23</v>
      </c>
      <c r="Q437" s="4">
        <v>188.4</v>
      </c>
      <c r="R437" s="4">
        <v>5.4</v>
      </c>
      <c r="S437" s="4">
        <v>42.46</v>
      </c>
      <c r="T437" s="5">
        <v>0.517</v>
      </c>
      <c r="U437" s="5">
        <v>31.02</v>
      </c>
      <c r="V437" s="5">
        <v>1.02</v>
      </c>
      <c r="W437" s="5">
        <v>61.2</v>
      </c>
      <c r="X437" s="4">
        <v>2547.6</v>
      </c>
    </row>
    <row r="438" customHeight="1" spans="2:28">
      <c r="B438" s="6" t="str">
        <f t="shared" si="6"/>
        <v>43115-DT1EJ20250101-A-JIEU8017273-PARTS</v>
      </c>
      <c r="C438" t="s">
        <v>80</v>
      </c>
      <c r="D438" t="s">
        <v>81</v>
      </c>
      <c r="E438" t="s">
        <v>366</v>
      </c>
      <c r="F438" t="s">
        <v>367</v>
      </c>
      <c r="G438" s="1" t="s">
        <v>84</v>
      </c>
      <c r="I438" s="1" t="s">
        <v>85</v>
      </c>
      <c r="J438" s="1" t="s">
        <v>374</v>
      </c>
      <c r="K438" s="1" t="s">
        <v>375</v>
      </c>
      <c r="L438">
        <v>8708299009</v>
      </c>
      <c r="M438" s="2" t="s">
        <v>376</v>
      </c>
      <c r="N438" s="3" t="s">
        <v>377</v>
      </c>
      <c r="O438" s="1">
        <v>20</v>
      </c>
      <c r="P438" s="4">
        <v>11.47</v>
      </c>
      <c r="Q438" s="4">
        <v>18.4</v>
      </c>
      <c r="R438" s="4">
        <v>0.6</v>
      </c>
      <c r="S438" s="4">
        <v>12.42</v>
      </c>
      <c r="T438" s="5">
        <v>0.3</v>
      </c>
      <c r="U438" s="5">
        <v>6</v>
      </c>
      <c r="V438" s="5">
        <v>1.53</v>
      </c>
      <c r="W438" s="5">
        <v>30.6</v>
      </c>
      <c r="X438" s="4">
        <v>248.4</v>
      </c>
      <c r="Y438">
        <v>2280</v>
      </c>
      <c r="Z438">
        <v>1250</v>
      </c>
      <c r="AA438">
        <v>700</v>
      </c>
      <c r="AB438" s="1">
        <v>2</v>
      </c>
    </row>
    <row r="439" customHeight="1" spans="2:28">
      <c r="B439" s="6" t="str">
        <f t="shared" si="6"/>
        <v>43115-DT1EJ20250101-A-JIEU8017273-PARTS</v>
      </c>
      <c r="C439" t="s">
        <v>80</v>
      </c>
      <c r="D439" t="s">
        <v>81</v>
      </c>
      <c r="E439" t="s">
        <v>366</v>
      </c>
      <c r="F439" t="s">
        <v>367</v>
      </c>
      <c r="G439" s="1" t="s">
        <v>84</v>
      </c>
      <c r="I439" s="1" t="s">
        <v>85</v>
      </c>
      <c r="J439" s="1" t="s">
        <v>374</v>
      </c>
      <c r="K439" s="1" t="s">
        <v>375</v>
      </c>
      <c r="L439">
        <v>8708299009</v>
      </c>
      <c r="M439" s="2" t="s">
        <v>376</v>
      </c>
      <c r="N439" s="3" t="s">
        <v>377</v>
      </c>
      <c r="O439" s="1">
        <v>20</v>
      </c>
      <c r="P439" s="4">
        <v>11.47</v>
      </c>
      <c r="Q439" s="4">
        <v>18.4</v>
      </c>
      <c r="R439" s="4">
        <v>0.6</v>
      </c>
      <c r="S439" s="4">
        <v>12.42</v>
      </c>
      <c r="T439" s="5">
        <v>0.3</v>
      </c>
      <c r="U439" s="5">
        <v>6</v>
      </c>
      <c r="V439" s="5">
        <v>1.53</v>
      </c>
      <c r="W439" s="5">
        <v>30.6</v>
      </c>
      <c r="X439" s="4">
        <v>248.4</v>
      </c>
    </row>
    <row r="440" customHeight="1" spans="2:28">
      <c r="B440" s="6" t="str">
        <f t="shared" si="6"/>
        <v>43115-DT1EJ20250101-A-JIEU8017273-PARTS</v>
      </c>
      <c r="C440" t="s">
        <v>80</v>
      </c>
      <c r="D440" t="s">
        <v>81</v>
      </c>
      <c r="E440" t="s">
        <v>366</v>
      </c>
      <c r="F440" t="s">
        <v>367</v>
      </c>
      <c r="G440" s="1" t="s">
        <v>84</v>
      </c>
      <c r="I440" s="1" t="s">
        <v>85</v>
      </c>
      <c r="J440" s="1" t="s">
        <v>374</v>
      </c>
      <c r="K440" s="1" t="s">
        <v>375</v>
      </c>
      <c r="L440">
        <v>8708299009</v>
      </c>
      <c r="M440" s="2" t="s">
        <v>376</v>
      </c>
      <c r="N440" s="3" t="s">
        <v>377</v>
      </c>
      <c r="O440" s="1">
        <v>20</v>
      </c>
      <c r="P440" s="4">
        <v>11.47</v>
      </c>
      <c r="Q440" s="4">
        <v>18.4</v>
      </c>
      <c r="R440" s="4">
        <v>0.6</v>
      </c>
      <c r="S440" s="4">
        <v>12.42</v>
      </c>
      <c r="T440" s="5">
        <v>0.3</v>
      </c>
      <c r="U440" s="5">
        <v>6</v>
      </c>
      <c r="V440" s="5">
        <v>1.53</v>
      </c>
      <c r="W440" s="5">
        <v>30.6</v>
      </c>
      <c r="X440" s="4">
        <v>248.4</v>
      </c>
    </row>
    <row r="441" customHeight="1" spans="2:28">
      <c r="B441" s="6" t="str">
        <f t="shared" si="6"/>
        <v>43115-DT1EJ20250101-A-JIEU8017273-PARTS</v>
      </c>
      <c r="C441" t="s">
        <v>80</v>
      </c>
      <c r="D441" t="s">
        <v>81</v>
      </c>
      <c r="E441" t="s">
        <v>366</v>
      </c>
      <c r="F441" t="s">
        <v>367</v>
      </c>
      <c r="G441" s="1" t="s">
        <v>84</v>
      </c>
      <c r="I441" s="1" t="s">
        <v>85</v>
      </c>
      <c r="J441" s="1" t="s">
        <v>374</v>
      </c>
      <c r="K441" s="1" t="s">
        <v>375</v>
      </c>
      <c r="L441">
        <v>8708299009</v>
      </c>
      <c r="M441" s="2" t="s">
        <v>376</v>
      </c>
      <c r="N441" s="3" t="s">
        <v>377</v>
      </c>
      <c r="O441" s="1">
        <v>20</v>
      </c>
      <c r="P441" s="4">
        <v>11.47</v>
      </c>
      <c r="Q441" s="4">
        <v>18.4</v>
      </c>
      <c r="R441" s="4">
        <v>0.6</v>
      </c>
      <c r="S441" s="4">
        <v>12.42</v>
      </c>
      <c r="T441" s="5">
        <v>0.3</v>
      </c>
      <c r="U441" s="5">
        <v>6</v>
      </c>
      <c r="V441" s="5">
        <v>1.53</v>
      </c>
      <c r="W441" s="5">
        <v>30.6</v>
      </c>
      <c r="X441" s="4">
        <v>248.4</v>
      </c>
    </row>
    <row r="442" customHeight="1" spans="2:28">
      <c r="B442" s="6" t="str">
        <f t="shared" si="6"/>
        <v>43115-DT1EJ20250101-A-JIEU8017273-PARTS</v>
      </c>
      <c r="C442" t="s">
        <v>80</v>
      </c>
      <c r="D442" t="s">
        <v>81</v>
      </c>
      <c r="E442" t="s">
        <v>366</v>
      </c>
      <c r="F442" t="s">
        <v>367</v>
      </c>
      <c r="G442" s="1" t="s">
        <v>84</v>
      </c>
      <c r="I442" s="1" t="s">
        <v>85</v>
      </c>
      <c r="J442" s="1" t="s">
        <v>374</v>
      </c>
      <c r="K442" s="1" t="s">
        <v>375</v>
      </c>
      <c r="L442">
        <v>8708299009</v>
      </c>
      <c r="M442" s="2" t="s">
        <v>376</v>
      </c>
      <c r="N442" s="3" t="s">
        <v>377</v>
      </c>
      <c r="O442" s="1">
        <v>20</v>
      </c>
      <c r="P442" s="4">
        <v>11.47</v>
      </c>
      <c r="Q442" s="4">
        <v>18.4</v>
      </c>
      <c r="R442" s="4">
        <v>0.6</v>
      </c>
      <c r="S442" s="4">
        <v>12.42</v>
      </c>
      <c r="T442" s="5">
        <v>0.3</v>
      </c>
      <c r="U442" s="5">
        <v>6</v>
      </c>
      <c r="V442" s="5">
        <v>1.53</v>
      </c>
      <c r="W442" s="5">
        <v>30.6</v>
      </c>
      <c r="X442" s="4">
        <v>248.4</v>
      </c>
    </row>
    <row r="443" customHeight="1" spans="2:28">
      <c r="B443" s="6" t="str">
        <f t="shared" si="6"/>
        <v>43115-DT1EJ20250101-A-JIEU8017273-PARTS</v>
      </c>
      <c r="C443" t="s">
        <v>80</v>
      </c>
      <c r="D443" t="s">
        <v>81</v>
      </c>
      <c r="E443" t="s">
        <v>366</v>
      </c>
      <c r="F443" t="s">
        <v>367</v>
      </c>
      <c r="G443" s="1" t="s">
        <v>84</v>
      </c>
      <c r="I443" s="1" t="s">
        <v>85</v>
      </c>
      <c r="J443" s="1" t="s">
        <v>374</v>
      </c>
      <c r="K443" s="1" t="s">
        <v>375</v>
      </c>
      <c r="L443">
        <v>8708299009</v>
      </c>
      <c r="M443" s="2" t="s">
        <v>376</v>
      </c>
      <c r="N443" s="3" t="s">
        <v>377</v>
      </c>
      <c r="O443" s="1">
        <v>20</v>
      </c>
      <c r="P443" s="4">
        <v>11.47</v>
      </c>
      <c r="Q443" s="4">
        <v>18.4</v>
      </c>
      <c r="R443" s="4">
        <v>0.6</v>
      </c>
      <c r="S443" s="4">
        <v>12.42</v>
      </c>
      <c r="T443" s="5">
        <v>0.3</v>
      </c>
      <c r="U443" s="5">
        <v>6</v>
      </c>
      <c r="V443" s="5">
        <v>1.53</v>
      </c>
      <c r="W443" s="5">
        <v>30.6</v>
      </c>
      <c r="X443" s="4">
        <v>248.4</v>
      </c>
    </row>
    <row r="444" customHeight="1" spans="2:28">
      <c r="B444" s="6" t="str">
        <f t="shared" si="6"/>
        <v>43115-DT1EJ20250101-A-JIEU8017273-PARTS</v>
      </c>
      <c r="C444" t="s">
        <v>80</v>
      </c>
      <c r="D444" t="s">
        <v>81</v>
      </c>
      <c r="E444" t="s">
        <v>366</v>
      </c>
      <c r="F444" t="s">
        <v>367</v>
      </c>
      <c r="G444" s="1" t="s">
        <v>84</v>
      </c>
      <c r="I444" s="1" t="s">
        <v>85</v>
      </c>
      <c r="J444" s="1" t="s">
        <v>378</v>
      </c>
      <c r="K444" s="1" t="s">
        <v>363</v>
      </c>
      <c r="L444">
        <v>8708705009</v>
      </c>
      <c r="M444" s="2" t="s">
        <v>364</v>
      </c>
      <c r="N444" s="3" t="s">
        <v>365</v>
      </c>
      <c r="O444" s="1">
        <v>30</v>
      </c>
      <c r="P444" s="4">
        <v>972.17</v>
      </c>
      <c r="Q444" s="4">
        <v>2337.6</v>
      </c>
      <c r="R444" s="4">
        <v>67.2</v>
      </c>
      <c r="S444" s="4">
        <v>1052.33</v>
      </c>
      <c r="T444" s="5">
        <v>26.33</v>
      </c>
      <c r="U444" s="5">
        <v>789.9</v>
      </c>
      <c r="V444" s="5">
        <v>27.5</v>
      </c>
      <c r="W444" s="5">
        <v>825</v>
      </c>
      <c r="X444" s="4">
        <v>31569.9</v>
      </c>
      <c r="Y444">
        <v>2280</v>
      </c>
      <c r="Z444">
        <v>1480</v>
      </c>
      <c r="AA444">
        <v>1300</v>
      </c>
      <c r="AB444" s="1">
        <v>4.39</v>
      </c>
    </row>
    <row r="445" customHeight="1" spans="2:28">
      <c r="B445" s="6" t="str">
        <f t="shared" si="6"/>
        <v>43115-DT1EJ20250101-A-JIEU8017273-PARTS</v>
      </c>
      <c r="C445" t="s">
        <v>80</v>
      </c>
      <c r="D445" t="s">
        <v>81</v>
      </c>
      <c r="E445" t="s">
        <v>366</v>
      </c>
      <c r="F445" t="s">
        <v>367</v>
      </c>
      <c r="G445" s="1" t="s">
        <v>84</v>
      </c>
      <c r="I445" s="1" t="s">
        <v>85</v>
      </c>
      <c r="J445" s="1" t="s">
        <v>379</v>
      </c>
      <c r="K445" s="1" t="s">
        <v>363</v>
      </c>
      <c r="L445">
        <v>8708705009</v>
      </c>
      <c r="M445" s="2" t="s">
        <v>364</v>
      </c>
      <c r="N445" s="3" t="s">
        <v>365</v>
      </c>
      <c r="O445" s="1">
        <v>30</v>
      </c>
      <c r="P445" s="4">
        <v>972.17</v>
      </c>
      <c r="Q445" s="4">
        <v>2337.6</v>
      </c>
      <c r="R445" s="4">
        <v>67.2</v>
      </c>
      <c r="S445" s="4">
        <v>1052.33</v>
      </c>
      <c r="T445" s="5">
        <v>26.33</v>
      </c>
      <c r="U445" s="5">
        <v>789.9</v>
      </c>
      <c r="V445" s="5">
        <v>27.5</v>
      </c>
      <c r="W445" s="5">
        <v>825</v>
      </c>
      <c r="X445" s="4">
        <v>31569.9</v>
      </c>
      <c r="Y445">
        <v>2280</v>
      </c>
      <c r="Z445">
        <v>1480</v>
      </c>
      <c r="AA445">
        <v>1300</v>
      </c>
      <c r="AB445" s="1">
        <v>4.39</v>
      </c>
    </row>
    <row r="446" customHeight="1" spans="2:28">
      <c r="B446" s="6" t="str">
        <f t="shared" si="6"/>
        <v>43115-DT1EJ20250101-A-JIEU8017273-PARTS</v>
      </c>
      <c r="C446" t="s">
        <v>80</v>
      </c>
      <c r="D446" t="s">
        <v>81</v>
      </c>
      <c r="E446" t="s">
        <v>366</v>
      </c>
      <c r="F446" t="s">
        <v>367</v>
      </c>
      <c r="G446" s="1" t="s">
        <v>84</v>
      </c>
      <c r="I446" s="1" t="s">
        <v>85</v>
      </c>
      <c r="J446" s="1" t="s">
        <v>380</v>
      </c>
      <c r="K446" s="1" t="s">
        <v>363</v>
      </c>
      <c r="L446">
        <v>8708705009</v>
      </c>
      <c r="M446" s="2" t="s">
        <v>364</v>
      </c>
      <c r="N446" s="3" t="s">
        <v>365</v>
      </c>
      <c r="O446" s="1">
        <v>30</v>
      </c>
      <c r="P446" s="4">
        <v>972.17</v>
      </c>
      <c r="Q446" s="4">
        <v>2337.6</v>
      </c>
      <c r="R446" s="4">
        <v>67.2</v>
      </c>
      <c r="S446" s="4">
        <v>1052.33</v>
      </c>
      <c r="T446" s="5">
        <v>26.33</v>
      </c>
      <c r="U446" s="5">
        <v>789.9</v>
      </c>
      <c r="V446" s="5">
        <v>27.5</v>
      </c>
      <c r="W446" s="5">
        <v>825</v>
      </c>
      <c r="X446" s="4">
        <v>31569.9</v>
      </c>
      <c r="Y446">
        <v>2280</v>
      </c>
      <c r="Z446">
        <v>1480</v>
      </c>
      <c r="AA446">
        <v>1300</v>
      </c>
      <c r="AB446" s="1">
        <v>4.39</v>
      </c>
    </row>
    <row r="447" customHeight="1" spans="2:28">
      <c r="B447" s="6" t="str">
        <f t="shared" si="6"/>
        <v>43115-DT1EJ20250101-A-JIEU8017273-PARTS</v>
      </c>
      <c r="C447" t="s">
        <v>80</v>
      </c>
      <c r="D447" t="s">
        <v>81</v>
      </c>
      <c r="E447" t="s">
        <v>366</v>
      </c>
      <c r="F447" t="s">
        <v>367</v>
      </c>
      <c r="G447" s="1" t="s">
        <v>84</v>
      </c>
      <c r="I447" s="1" t="s">
        <v>85</v>
      </c>
      <c r="J447" s="1" t="s">
        <v>381</v>
      </c>
      <c r="K447" s="1" t="s">
        <v>363</v>
      </c>
      <c r="L447">
        <v>8708705009</v>
      </c>
      <c r="M447" s="2" t="s">
        <v>364</v>
      </c>
      <c r="N447" s="3" t="s">
        <v>365</v>
      </c>
      <c r="O447" s="1">
        <v>30</v>
      </c>
      <c r="P447" s="4">
        <v>972.17</v>
      </c>
      <c r="Q447" s="4">
        <v>2337.6</v>
      </c>
      <c r="R447" s="4">
        <v>67.2</v>
      </c>
      <c r="S447" s="4">
        <v>1052.33</v>
      </c>
      <c r="T447" s="5">
        <v>26.33</v>
      </c>
      <c r="U447" s="5">
        <v>789.9</v>
      </c>
      <c r="V447" s="5">
        <v>27.5</v>
      </c>
      <c r="W447" s="5">
        <v>825</v>
      </c>
      <c r="X447" s="4">
        <v>31569.9</v>
      </c>
      <c r="Y447">
        <v>2280</v>
      </c>
      <c r="Z447">
        <v>1480</v>
      </c>
      <c r="AA447">
        <v>1300</v>
      </c>
      <c r="AB447" s="1">
        <v>4.39</v>
      </c>
    </row>
    <row r="448" customHeight="1" spans="2:28">
      <c r="B448" s="6" t="str">
        <f t="shared" si="6"/>
        <v>43115-DT1EJ20250101-A-JIEU8017273-PARTS</v>
      </c>
      <c r="C448" t="s">
        <v>80</v>
      </c>
      <c r="D448" t="s">
        <v>81</v>
      </c>
      <c r="E448" t="s">
        <v>366</v>
      </c>
      <c r="F448" t="s">
        <v>367</v>
      </c>
      <c r="G448" s="1" t="s">
        <v>84</v>
      </c>
      <c r="I448" s="1" t="s">
        <v>85</v>
      </c>
      <c r="J448" s="1" t="s">
        <v>382</v>
      </c>
      <c r="K448" s="1" t="s">
        <v>363</v>
      </c>
      <c r="L448">
        <v>8708705009</v>
      </c>
      <c r="M448" s="2" t="s">
        <v>364</v>
      </c>
      <c r="N448" s="3" t="s">
        <v>365</v>
      </c>
      <c r="O448" s="1">
        <v>30</v>
      </c>
      <c r="P448" s="4">
        <v>972.17</v>
      </c>
      <c r="Q448" s="4">
        <v>2337.6</v>
      </c>
      <c r="R448" s="4">
        <v>67.2</v>
      </c>
      <c r="S448" s="4">
        <v>1052.33</v>
      </c>
      <c r="T448" s="5">
        <v>26.33</v>
      </c>
      <c r="U448" s="5">
        <v>789.9</v>
      </c>
      <c r="V448" s="5">
        <v>27.5</v>
      </c>
      <c r="W448" s="5">
        <v>825</v>
      </c>
      <c r="X448" s="4">
        <v>31569.9</v>
      </c>
      <c r="Y448">
        <v>2280</v>
      </c>
      <c r="Z448">
        <v>1480</v>
      </c>
      <c r="AA448">
        <v>1300</v>
      </c>
      <c r="AB448" s="1">
        <v>4.39</v>
      </c>
    </row>
    <row r="449" customHeight="1" spans="2:28">
      <c r="B449" s="6" t="str">
        <f t="shared" si="6"/>
        <v>43115-DT1EJ20250101-A-JIEU8017273-PARTS</v>
      </c>
      <c r="C449" s="29" t="s">
        <v>80</v>
      </c>
      <c r="D449" s="30" t="s">
        <v>81</v>
      </c>
      <c r="E449" s="30" t="s">
        <v>366</v>
      </c>
      <c r="F449" s="30" t="s">
        <v>367</v>
      </c>
      <c r="G449" s="31" t="s">
        <v>84</v>
      </c>
      <c r="H449" s="31"/>
      <c r="I449" s="31" t="s">
        <v>85</v>
      </c>
      <c r="J449" s="31" t="s">
        <v>383</v>
      </c>
      <c r="K449" s="31" t="s">
        <v>363</v>
      </c>
      <c r="L449" s="31">
        <v>8708705009</v>
      </c>
      <c r="M449" s="32" t="s">
        <v>364</v>
      </c>
      <c r="N449" s="33" t="s">
        <v>365</v>
      </c>
      <c r="O449" s="31">
        <v>30</v>
      </c>
      <c r="P449" s="34">
        <v>972.17</v>
      </c>
      <c r="Q449" s="34">
        <v>2337.6</v>
      </c>
      <c r="R449" s="34">
        <v>67.2</v>
      </c>
      <c r="S449" s="34">
        <v>1052.33</v>
      </c>
      <c r="T449" s="35">
        <v>26.33</v>
      </c>
      <c r="U449" s="35">
        <v>789.9</v>
      </c>
      <c r="V449" s="35">
        <v>27.5</v>
      </c>
      <c r="W449" s="35">
        <v>825</v>
      </c>
      <c r="X449" s="34">
        <v>31569.9</v>
      </c>
      <c r="Y449" s="31">
        <v>2280</v>
      </c>
      <c r="Z449" s="31">
        <v>1480</v>
      </c>
      <c r="AA449" s="31">
        <v>1300</v>
      </c>
      <c r="AB449" s="31">
        <v>4.39</v>
      </c>
    </row>
    <row r="450" customHeight="1" spans="2:28">
      <c r="B450" s="6" t="str">
        <f t="shared" ref="B450:B513" si="7">CONCATENATE(C450,"-",E450,"-",G450)</f>
        <v>43115-DT1EJ20250101-A-JIEU8017273-PARTS</v>
      </c>
      <c r="C450" s="29" t="s">
        <v>80</v>
      </c>
      <c r="D450" s="30" t="s">
        <v>81</v>
      </c>
      <c r="E450" s="30" t="s">
        <v>366</v>
      </c>
      <c r="F450" s="30" t="s">
        <v>367</v>
      </c>
      <c r="G450" s="31" t="s">
        <v>84</v>
      </c>
      <c r="H450" s="31"/>
      <c r="I450" s="31" t="s">
        <v>85</v>
      </c>
      <c r="J450" s="31" t="s">
        <v>384</v>
      </c>
      <c r="K450" s="31" t="s">
        <v>363</v>
      </c>
      <c r="L450" s="31">
        <v>8708705009</v>
      </c>
      <c r="M450" s="32" t="s">
        <v>364</v>
      </c>
      <c r="N450" s="33" t="s">
        <v>365</v>
      </c>
      <c r="O450" s="31">
        <v>30</v>
      </c>
      <c r="P450" s="34">
        <v>972.17</v>
      </c>
      <c r="Q450" s="34">
        <v>2337.6</v>
      </c>
      <c r="R450" s="34">
        <v>67.2</v>
      </c>
      <c r="S450" s="34">
        <v>1052.33</v>
      </c>
      <c r="T450" s="35">
        <v>26.33</v>
      </c>
      <c r="U450" s="35">
        <v>789.9</v>
      </c>
      <c r="V450" s="35">
        <v>27.5</v>
      </c>
      <c r="W450" s="35">
        <v>825</v>
      </c>
      <c r="X450" s="34">
        <v>31569.9</v>
      </c>
      <c r="Y450" s="31">
        <v>2280</v>
      </c>
      <c r="Z450" s="31">
        <v>1480</v>
      </c>
      <c r="AA450" s="31">
        <v>1300</v>
      </c>
      <c r="AB450" s="31">
        <v>4.39</v>
      </c>
    </row>
    <row r="451" customHeight="1" spans="2:28">
      <c r="B451" s="6" t="str">
        <f t="shared" si="7"/>
        <v>43115-DT1EJ20250101-A-JIEU8017273-PARTS</v>
      </c>
      <c r="C451" s="29" t="s">
        <v>80</v>
      </c>
      <c r="D451" s="30" t="s">
        <v>81</v>
      </c>
      <c r="E451" s="30" t="s">
        <v>366</v>
      </c>
      <c r="F451" s="30" t="s">
        <v>367</v>
      </c>
      <c r="G451" s="31" t="s">
        <v>84</v>
      </c>
      <c r="H451" s="31"/>
      <c r="I451" s="31" t="s">
        <v>85</v>
      </c>
      <c r="J451" s="31" t="s">
        <v>385</v>
      </c>
      <c r="K451" s="31" t="s">
        <v>363</v>
      </c>
      <c r="L451" s="31">
        <v>8708705009</v>
      </c>
      <c r="M451" s="32" t="s">
        <v>364</v>
      </c>
      <c r="N451" s="33" t="s">
        <v>365</v>
      </c>
      <c r="O451" s="31">
        <v>30</v>
      </c>
      <c r="P451" s="34">
        <v>972.17</v>
      </c>
      <c r="Q451" s="34">
        <v>2337.6</v>
      </c>
      <c r="R451" s="34">
        <v>67.2</v>
      </c>
      <c r="S451" s="34">
        <v>1052.33</v>
      </c>
      <c r="T451" s="35">
        <v>26.33</v>
      </c>
      <c r="U451" s="35">
        <v>789.9</v>
      </c>
      <c r="V451" s="35">
        <v>27.5</v>
      </c>
      <c r="W451" s="35">
        <v>825</v>
      </c>
      <c r="X451" s="34">
        <v>31569.9</v>
      </c>
      <c r="Y451" s="31">
        <v>2280</v>
      </c>
      <c r="Z451" s="31">
        <v>1480</v>
      </c>
      <c r="AA451" s="31">
        <v>1300</v>
      </c>
      <c r="AB451" s="31">
        <v>4.39</v>
      </c>
    </row>
    <row r="452" customHeight="1" spans="2:28">
      <c r="B452" s="6" t="str">
        <f t="shared" si="7"/>
        <v>43115-DT1EJ20250101-A-JIEU8017273-PARTS</v>
      </c>
      <c r="C452" s="29" t="s">
        <v>80</v>
      </c>
      <c r="D452" s="30" t="s">
        <v>81</v>
      </c>
      <c r="E452" s="30" t="s">
        <v>366</v>
      </c>
      <c r="F452" s="30" t="s">
        <v>367</v>
      </c>
      <c r="G452" s="31" t="s">
        <v>84</v>
      </c>
      <c r="H452" s="31"/>
      <c r="I452" s="31" t="s">
        <v>85</v>
      </c>
      <c r="J452" s="31" t="s">
        <v>386</v>
      </c>
      <c r="K452" s="31" t="s">
        <v>363</v>
      </c>
      <c r="L452" s="31">
        <v>8708705009</v>
      </c>
      <c r="M452" s="32" t="s">
        <v>364</v>
      </c>
      <c r="N452" s="33" t="s">
        <v>365</v>
      </c>
      <c r="O452" s="31">
        <v>30</v>
      </c>
      <c r="P452" s="34">
        <v>972.17</v>
      </c>
      <c r="Q452" s="34">
        <v>2337.6</v>
      </c>
      <c r="R452" s="34">
        <v>67.2</v>
      </c>
      <c r="S452" s="34">
        <v>1052.33</v>
      </c>
      <c r="T452" s="35">
        <v>26.33</v>
      </c>
      <c r="U452" s="35">
        <v>789.9</v>
      </c>
      <c r="V452" s="35">
        <v>27.33</v>
      </c>
      <c r="W452" s="35">
        <v>819.9</v>
      </c>
      <c r="X452" s="34">
        <v>31569.9</v>
      </c>
      <c r="Y452" s="31">
        <v>2280</v>
      </c>
      <c r="Z452" s="31">
        <v>1480</v>
      </c>
      <c r="AA452" s="31">
        <v>1300</v>
      </c>
      <c r="AB452" s="31">
        <v>4.39</v>
      </c>
    </row>
    <row r="453" customHeight="1" spans="2:28">
      <c r="B453" s="6" t="str">
        <f t="shared" si="7"/>
        <v>43115-DT1EJ20250101-A-JIEU8017273-PARTS</v>
      </c>
      <c r="C453" t="s">
        <v>80</v>
      </c>
      <c r="D453" t="s">
        <v>81</v>
      </c>
      <c r="E453" t="s">
        <v>366</v>
      </c>
      <c r="F453" t="s">
        <v>367</v>
      </c>
      <c r="G453" s="1" t="s">
        <v>84</v>
      </c>
      <c r="I453" s="1" t="s">
        <v>85</v>
      </c>
      <c r="J453" s="1" t="s">
        <v>387</v>
      </c>
      <c r="K453" s="1" t="s">
        <v>363</v>
      </c>
      <c r="L453">
        <v>8708705009</v>
      </c>
      <c r="M453" s="2" t="s">
        <v>364</v>
      </c>
      <c r="N453" s="3" t="s">
        <v>365</v>
      </c>
      <c r="O453" s="1">
        <v>30</v>
      </c>
      <c r="P453" s="4">
        <v>972.17</v>
      </c>
      <c r="Q453" s="4">
        <v>2337.6</v>
      </c>
      <c r="R453" s="4">
        <v>67.2</v>
      </c>
      <c r="S453" s="4">
        <v>1052.33</v>
      </c>
      <c r="T453" s="5">
        <v>26.33</v>
      </c>
      <c r="U453" s="5">
        <v>789.9</v>
      </c>
      <c r="V453" s="5">
        <v>27.33</v>
      </c>
      <c r="W453" s="5">
        <v>819.9</v>
      </c>
      <c r="X453" s="4">
        <v>31569.9</v>
      </c>
      <c r="Y453">
        <v>2280</v>
      </c>
      <c r="Z453">
        <v>1480</v>
      </c>
      <c r="AA453">
        <v>1300</v>
      </c>
      <c r="AB453" s="1">
        <v>4.39</v>
      </c>
    </row>
    <row r="454" customHeight="1" spans="2:28">
      <c r="B454" s="6" t="str">
        <f t="shared" si="7"/>
        <v>43115-DT1EJ20250101-A-JIEU8017273-PARTS</v>
      </c>
      <c r="C454" t="s">
        <v>80</v>
      </c>
      <c r="D454" t="s">
        <v>81</v>
      </c>
      <c r="E454" t="s">
        <v>366</v>
      </c>
      <c r="F454" t="s">
        <v>367</v>
      </c>
      <c r="G454" s="1" t="s">
        <v>84</v>
      </c>
      <c r="I454" s="1" t="s">
        <v>85</v>
      </c>
      <c r="J454" s="1" t="s">
        <v>388</v>
      </c>
      <c r="K454" s="1" t="s">
        <v>363</v>
      </c>
      <c r="L454">
        <v>8708705009</v>
      </c>
      <c r="M454" s="2" t="s">
        <v>364</v>
      </c>
      <c r="N454" s="3" t="s">
        <v>365</v>
      </c>
      <c r="O454" s="1">
        <v>30</v>
      </c>
      <c r="P454" s="4">
        <v>972.17</v>
      </c>
      <c r="Q454" s="4">
        <v>2337.6</v>
      </c>
      <c r="R454" s="4">
        <v>67.2</v>
      </c>
      <c r="S454" s="4">
        <v>1052.33</v>
      </c>
      <c r="T454" s="5">
        <v>26.33</v>
      </c>
      <c r="U454" s="5">
        <v>789.9</v>
      </c>
      <c r="V454" s="5">
        <v>27.33</v>
      </c>
      <c r="W454" s="5">
        <v>819.9</v>
      </c>
      <c r="X454" s="4">
        <v>31569.9</v>
      </c>
      <c r="Y454">
        <v>2280</v>
      </c>
      <c r="Z454">
        <v>1480</v>
      </c>
      <c r="AA454">
        <v>1300</v>
      </c>
      <c r="AB454" s="1">
        <v>4.39</v>
      </c>
    </row>
    <row r="455" customHeight="1" spans="2:28">
      <c r="B455" s="6" t="str">
        <f t="shared" si="7"/>
        <v>43115-DT1EJ20250101-A-JIEU8017273-PARTS</v>
      </c>
      <c r="C455" t="s">
        <v>80</v>
      </c>
      <c r="D455" t="s">
        <v>81</v>
      </c>
      <c r="E455" t="s">
        <v>366</v>
      </c>
      <c r="F455" t="s">
        <v>367</v>
      </c>
      <c r="G455" s="1" t="s">
        <v>84</v>
      </c>
      <c r="I455" s="1" t="s">
        <v>85</v>
      </c>
      <c r="J455" s="1" t="s">
        <v>389</v>
      </c>
      <c r="K455" s="1" t="s">
        <v>363</v>
      </c>
      <c r="L455">
        <v>8708705009</v>
      </c>
      <c r="M455" s="2" t="s">
        <v>364</v>
      </c>
      <c r="N455" s="3" t="s">
        <v>365</v>
      </c>
      <c r="O455" s="1">
        <v>30</v>
      </c>
      <c r="P455" s="4">
        <v>972.17</v>
      </c>
      <c r="Q455" s="4">
        <v>2337.6</v>
      </c>
      <c r="R455" s="4">
        <v>67.2</v>
      </c>
      <c r="S455" s="4">
        <v>1052.33</v>
      </c>
      <c r="T455" s="5">
        <v>26.33</v>
      </c>
      <c r="U455" s="5">
        <v>789.9</v>
      </c>
      <c r="V455" s="5">
        <v>27.33</v>
      </c>
      <c r="W455" s="5">
        <v>819.9</v>
      </c>
      <c r="X455" s="4">
        <v>31569.9</v>
      </c>
      <c r="Y455">
        <v>2280</v>
      </c>
      <c r="Z455">
        <v>1480</v>
      </c>
      <c r="AA455">
        <v>1300</v>
      </c>
      <c r="AB455" s="1">
        <v>4.39</v>
      </c>
    </row>
    <row r="456" customHeight="1" spans="2:28">
      <c r="B456" s="6" t="str">
        <f t="shared" si="7"/>
        <v>43115-DT1EJ20250101-A-JIEU8017273-PARTS</v>
      </c>
      <c r="C456" t="s">
        <v>80</v>
      </c>
      <c r="D456" t="s">
        <v>81</v>
      </c>
      <c r="E456" t="s">
        <v>366</v>
      </c>
      <c r="F456" t="s">
        <v>367</v>
      </c>
      <c r="G456" s="1" t="s">
        <v>84</v>
      </c>
      <c r="I456" s="1" t="s">
        <v>85</v>
      </c>
      <c r="J456" s="1" t="s">
        <v>390</v>
      </c>
      <c r="K456" s="1" t="s">
        <v>363</v>
      </c>
      <c r="L456">
        <v>8708705009</v>
      </c>
      <c r="M456" s="2" t="s">
        <v>364</v>
      </c>
      <c r="N456" s="3" t="s">
        <v>365</v>
      </c>
      <c r="O456" s="1">
        <v>30</v>
      </c>
      <c r="P456" s="4">
        <v>972.17</v>
      </c>
      <c r="Q456" s="4">
        <v>2337.6</v>
      </c>
      <c r="R456" s="4">
        <v>67.2</v>
      </c>
      <c r="S456" s="4">
        <v>1052.33</v>
      </c>
      <c r="T456" s="5">
        <v>26.33</v>
      </c>
      <c r="U456" s="5">
        <v>789.9</v>
      </c>
      <c r="V456" s="5">
        <v>27.33</v>
      </c>
      <c r="W456" s="5">
        <v>819.9</v>
      </c>
      <c r="X456" s="4">
        <v>31569.9</v>
      </c>
      <c r="Y456">
        <v>2280</v>
      </c>
      <c r="Z456">
        <v>1480</v>
      </c>
      <c r="AA456">
        <v>1300</v>
      </c>
      <c r="AB456" s="1">
        <v>4.39</v>
      </c>
    </row>
    <row r="457" customHeight="1" spans="2:28">
      <c r="B457" s="6" t="str">
        <f t="shared" si="7"/>
        <v>43115-DT1EJ20250101-A-JIEU8017273-PARTS</v>
      </c>
      <c r="C457" t="s">
        <v>80</v>
      </c>
      <c r="D457" t="s">
        <v>81</v>
      </c>
      <c r="E457" t="s">
        <v>366</v>
      </c>
      <c r="F457" t="s">
        <v>367</v>
      </c>
      <c r="G457" s="1" t="s">
        <v>84</v>
      </c>
      <c r="I457" s="1" t="s">
        <v>85</v>
      </c>
      <c r="J457" s="1" t="s">
        <v>391</v>
      </c>
      <c r="K457" s="1" t="s">
        <v>363</v>
      </c>
      <c r="L457">
        <v>8708705009</v>
      </c>
      <c r="M457" s="2" t="s">
        <v>364</v>
      </c>
      <c r="N457" s="3" t="s">
        <v>365</v>
      </c>
      <c r="O457" s="1">
        <v>30</v>
      </c>
      <c r="P457" s="4">
        <v>972.17</v>
      </c>
      <c r="Q457" s="4">
        <v>2337.6</v>
      </c>
      <c r="R457" s="4">
        <v>67.2</v>
      </c>
      <c r="S457" s="4">
        <v>1052.33</v>
      </c>
      <c r="T457" s="5">
        <v>26.33</v>
      </c>
      <c r="U457" s="5">
        <v>789.9</v>
      </c>
      <c r="V457" s="5">
        <v>27.33</v>
      </c>
      <c r="W457" s="5">
        <v>819.9</v>
      </c>
      <c r="X457" s="4">
        <v>31569.9</v>
      </c>
      <c r="Y457">
        <v>2280</v>
      </c>
      <c r="Z457">
        <v>1480</v>
      </c>
      <c r="AA457">
        <v>1300</v>
      </c>
      <c r="AB457" s="1">
        <v>4.39</v>
      </c>
    </row>
    <row r="458" customHeight="1" spans="2:28">
      <c r="B458" s="6" t="str">
        <f t="shared" si="7"/>
        <v>43115-DT1EJ20250101-A-JIEU8017273-PARTS</v>
      </c>
      <c r="C458" t="s">
        <v>80</v>
      </c>
      <c r="D458" t="s">
        <v>81</v>
      </c>
      <c r="E458" t="s">
        <v>366</v>
      </c>
      <c r="F458" t="s">
        <v>367</v>
      </c>
      <c r="G458" s="1" t="s">
        <v>84</v>
      </c>
      <c r="I458" s="1" t="s">
        <v>85</v>
      </c>
      <c r="J458" s="1" t="s">
        <v>392</v>
      </c>
      <c r="K458" s="1" t="s">
        <v>363</v>
      </c>
      <c r="L458">
        <v>8708705009</v>
      </c>
      <c r="M458" s="2" t="s">
        <v>364</v>
      </c>
      <c r="N458" s="3" t="s">
        <v>365</v>
      </c>
      <c r="O458" s="1">
        <v>30</v>
      </c>
      <c r="P458" s="4">
        <v>972.17</v>
      </c>
      <c r="Q458" s="4">
        <v>2337.6</v>
      </c>
      <c r="R458" s="4">
        <v>67.2</v>
      </c>
      <c r="S458" s="4">
        <v>1052.33</v>
      </c>
      <c r="T458" s="5">
        <v>26.33</v>
      </c>
      <c r="U458" s="5">
        <v>789.9</v>
      </c>
      <c r="V458" s="5">
        <v>27.33</v>
      </c>
      <c r="W458" s="5">
        <v>819.9</v>
      </c>
      <c r="X458" s="4">
        <v>31569.9</v>
      </c>
      <c r="Y458">
        <v>2280</v>
      </c>
      <c r="Z458">
        <v>1480</v>
      </c>
      <c r="AA458">
        <v>1300</v>
      </c>
      <c r="AB458" s="1">
        <v>4.39</v>
      </c>
    </row>
    <row r="459" customHeight="1" spans="2:28">
      <c r="B459" s="6" t="str">
        <f t="shared" si="7"/>
        <v>43115-DT1EJ20250101-A-JIEU8017930-PARTS</v>
      </c>
      <c r="C459" s="29" t="s">
        <v>80</v>
      </c>
      <c r="D459" s="30" t="s">
        <v>81</v>
      </c>
      <c r="E459" s="30" t="s">
        <v>393</v>
      </c>
      <c r="F459" s="30" t="s">
        <v>394</v>
      </c>
      <c r="G459" s="31" t="s">
        <v>84</v>
      </c>
      <c r="H459" s="31"/>
      <c r="I459" s="31" t="s">
        <v>85</v>
      </c>
      <c r="J459" s="31" t="s">
        <v>395</v>
      </c>
      <c r="K459" s="31" t="s">
        <v>396</v>
      </c>
      <c r="L459" s="31">
        <v>8708299009</v>
      </c>
      <c r="M459" s="32" t="s">
        <v>397</v>
      </c>
      <c r="N459" s="33" t="s">
        <v>398</v>
      </c>
      <c r="O459" s="31">
        <v>20</v>
      </c>
      <c r="P459" s="34">
        <v>12.21</v>
      </c>
      <c r="Q459" s="34">
        <v>19.6</v>
      </c>
      <c r="R459" s="34">
        <v>0.6</v>
      </c>
      <c r="S459" s="34">
        <v>13.22</v>
      </c>
      <c r="T459" s="35">
        <v>0.08</v>
      </c>
      <c r="U459" s="35">
        <v>1.6</v>
      </c>
      <c r="V459" s="35">
        <v>0.11</v>
      </c>
      <c r="W459" s="35">
        <v>2.2</v>
      </c>
      <c r="X459" s="34">
        <v>264.4</v>
      </c>
      <c r="Y459" s="31">
        <v>2280</v>
      </c>
      <c r="Z459" s="31">
        <v>1480</v>
      </c>
      <c r="AA459" s="31">
        <v>1280</v>
      </c>
      <c r="AB459" s="31">
        <v>4.32</v>
      </c>
    </row>
    <row r="460" customHeight="1" spans="2:28">
      <c r="B460" s="6" t="str">
        <f t="shared" si="7"/>
        <v>43115-DT1EJ20250101-A-JIEU8017930-PARTS</v>
      </c>
      <c r="C460" s="29" t="s">
        <v>80</v>
      </c>
      <c r="D460" s="30" t="s">
        <v>81</v>
      </c>
      <c r="E460" s="30" t="s">
        <v>393</v>
      </c>
      <c r="F460" s="30" t="s">
        <v>394</v>
      </c>
      <c r="G460" s="31" t="s">
        <v>84</v>
      </c>
      <c r="H460" s="31"/>
      <c r="I460" s="31" t="s">
        <v>85</v>
      </c>
      <c r="J460" s="31" t="s">
        <v>395</v>
      </c>
      <c r="K460" s="31" t="s">
        <v>396</v>
      </c>
      <c r="L460" s="31">
        <v>8708299009</v>
      </c>
      <c r="M460" s="32" t="s">
        <v>397</v>
      </c>
      <c r="N460" s="33" t="s">
        <v>398</v>
      </c>
      <c r="O460" s="31">
        <v>20</v>
      </c>
      <c r="P460" s="34">
        <v>12.21</v>
      </c>
      <c r="Q460" s="34">
        <v>19.6</v>
      </c>
      <c r="R460" s="34">
        <v>0.6</v>
      </c>
      <c r="S460" s="34">
        <v>13.22</v>
      </c>
      <c r="T460" s="35">
        <v>0.08</v>
      </c>
      <c r="U460" s="35">
        <v>1.6</v>
      </c>
      <c r="V460" s="35">
        <v>0.11</v>
      </c>
      <c r="W460" s="35">
        <v>2.2</v>
      </c>
      <c r="X460" s="34">
        <v>264.4</v>
      </c>
      <c r="Y460" s="31"/>
      <c r="Z460" s="31"/>
      <c r="AA460" s="31"/>
      <c r="AB460" s="31"/>
    </row>
    <row r="461" customHeight="1" spans="2:28">
      <c r="B461" s="6" t="str">
        <f t="shared" si="7"/>
        <v>43115-DT1EJ20250101-A-JIEU8017930-PARTS</v>
      </c>
      <c r="C461" s="29" t="s">
        <v>80</v>
      </c>
      <c r="D461" s="30" t="s">
        <v>81</v>
      </c>
      <c r="E461" s="30" t="s">
        <v>393</v>
      </c>
      <c r="F461" s="30" t="s">
        <v>394</v>
      </c>
      <c r="G461" s="31" t="s">
        <v>84</v>
      </c>
      <c r="H461" s="31"/>
      <c r="I461" s="31" t="s">
        <v>85</v>
      </c>
      <c r="J461" s="31" t="s">
        <v>395</v>
      </c>
      <c r="K461" s="31" t="s">
        <v>396</v>
      </c>
      <c r="L461" s="31">
        <v>8708299009</v>
      </c>
      <c r="M461" s="32" t="s">
        <v>397</v>
      </c>
      <c r="N461" s="33" t="s">
        <v>398</v>
      </c>
      <c r="O461" s="31">
        <v>20</v>
      </c>
      <c r="P461" s="34">
        <v>12.21</v>
      </c>
      <c r="Q461" s="34">
        <v>19.6</v>
      </c>
      <c r="R461" s="34">
        <v>0.6</v>
      </c>
      <c r="S461" s="34">
        <v>13.22</v>
      </c>
      <c r="T461" s="35">
        <v>0.08</v>
      </c>
      <c r="U461" s="35">
        <v>1.6</v>
      </c>
      <c r="V461" s="35">
        <v>0.11</v>
      </c>
      <c r="W461" s="35">
        <v>2.2</v>
      </c>
      <c r="X461" s="34">
        <v>264.4</v>
      </c>
      <c r="Y461" s="31"/>
      <c r="Z461" s="31"/>
      <c r="AA461" s="31"/>
      <c r="AB461" s="31"/>
    </row>
    <row r="462" customHeight="1" spans="2:28">
      <c r="B462" s="6" t="str">
        <f t="shared" si="7"/>
        <v>43115-DT1EJ20250101-A-JIEU8017930-PARTS</v>
      </c>
      <c r="C462" s="29" t="s">
        <v>80</v>
      </c>
      <c r="D462" s="30" t="s">
        <v>81</v>
      </c>
      <c r="E462" s="30" t="s">
        <v>393</v>
      </c>
      <c r="F462" s="30" t="s">
        <v>394</v>
      </c>
      <c r="G462" s="31" t="s">
        <v>84</v>
      </c>
      <c r="H462" s="31"/>
      <c r="I462" s="31" t="s">
        <v>85</v>
      </c>
      <c r="J462" s="31" t="s">
        <v>395</v>
      </c>
      <c r="K462" s="31" t="s">
        <v>396</v>
      </c>
      <c r="L462" s="31">
        <v>8708299009</v>
      </c>
      <c r="M462" s="32" t="s">
        <v>397</v>
      </c>
      <c r="N462" s="33" t="s">
        <v>398</v>
      </c>
      <c r="O462" s="31">
        <v>20</v>
      </c>
      <c r="P462" s="34">
        <v>12.21</v>
      </c>
      <c r="Q462" s="34">
        <v>19.6</v>
      </c>
      <c r="R462" s="34">
        <v>0.6</v>
      </c>
      <c r="S462" s="34">
        <v>13.22</v>
      </c>
      <c r="T462" s="35">
        <v>0.08</v>
      </c>
      <c r="U462" s="35">
        <v>1.6</v>
      </c>
      <c r="V462" s="35">
        <v>0.11</v>
      </c>
      <c r="W462" s="35">
        <v>2.2</v>
      </c>
      <c r="X462" s="34">
        <v>264.4</v>
      </c>
      <c r="Y462" s="31"/>
      <c r="Z462" s="31"/>
      <c r="AA462" s="31"/>
      <c r="AB462" s="31"/>
    </row>
    <row r="463" customHeight="1" spans="2:28">
      <c r="B463" s="6" t="str">
        <f t="shared" si="7"/>
        <v>43115-DT1EJ20250101-A-JIEU8017930-PARTS</v>
      </c>
      <c r="C463" s="29" t="s">
        <v>80</v>
      </c>
      <c r="D463" s="30" t="s">
        <v>81</v>
      </c>
      <c r="E463" s="30" t="s">
        <v>393</v>
      </c>
      <c r="F463" s="30" t="s">
        <v>394</v>
      </c>
      <c r="G463" s="31" t="s">
        <v>84</v>
      </c>
      <c r="H463" s="31"/>
      <c r="I463" s="31" t="s">
        <v>85</v>
      </c>
      <c r="J463" s="31" t="s">
        <v>395</v>
      </c>
      <c r="K463" s="31" t="s">
        <v>396</v>
      </c>
      <c r="L463" s="31">
        <v>8708299009</v>
      </c>
      <c r="M463" s="32" t="s">
        <v>397</v>
      </c>
      <c r="N463" s="33" t="s">
        <v>398</v>
      </c>
      <c r="O463" s="31">
        <v>20</v>
      </c>
      <c r="P463" s="34">
        <v>12.21</v>
      </c>
      <c r="Q463" s="34">
        <v>19.6</v>
      </c>
      <c r="R463" s="34">
        <v>0.6</v>
      </c>
      <c r="S463" s="34">
        <v>13.22</v>
      </c>
      <c r="T463" s="35">
        <v>0.08</v>
      </c>
      <c r="U463" s="35">
        <v>1.6</v>
      </c>
      <c r="V463" s="35">
        <v>0.11</v>
      </c>
      <c r="W463" s="35">
        <v>2.2</v>
      </c>
      <c r="X463" s="34">
        <v>264.4</v>
      </c>
      <c r="Y463" s="31"/>
      <c r="Z463" s="31"/>
      <c r="AA463" s="31"/>
      <c r="AB463" s="31"/>
    </row>
    <row r="464" customHeight="1" spans="2:28">
      <c r="B464" s="6" t="str">
        <f t="shared" si="7"/>
        <v>43115-DT1EJ20250101-A-JIEU8017930-PARTS</v>
      </c>
      <c r="C464" s="29" t="s">
        <v>80</v>
      </c>
      <c r="D464" s="30" t="s">
        <v>81</v>
      </c>
      <c r="E464" s="30" t="s">
        <v>393</v>
      </c>
      <c r="F464" s="30" t="s">
        <v>394</v>
      </c>
      <c r="G464" s="31" t="s">
        <v>84</v>
      </c>
      <c r="H464" s="31"/>
      <c r="I464" s="31" t="s">
        <v>85</v>
      </c>
      <c r="J464" s="31" t="s">
        <v>395</v>
      </c>
      <c r="K464" s="31" t="s">
        <v>396</v>
      </c>
      <c r="L464" s="31">
        <v>8708299009</v>
      </c>
      <c r="M464" s="32" t="s">
        <v>397</v>
      </c>
      <c r="N464" s="33" t="s">
        <v>398</v>
      </c>
      <c r="O464" s="31">
        <v>20</v>
      </c>
      <c r="P464" s="34">
        <v>12.21</v>
      </c>
      <c r="Q464" s="34">
        <v>19.6</v>
      </c>
      <c r="R464" s="34">
        <v>0.6</v>
      </c>
      <c r="S464" s="34">
        <v>13.22</v>
      </c>
      <c r="T464" s="35">
        <v>0.08</v>
      </c>
      <c r="U464" s="35">
        <v>1.6</v>
      </c>
      <c r="V464" s="35">
        <v>0.11</v>
      </c>
      <c r="W464" s="35">
        <v>2.2</v>
      </c>
      <c r="X464" s="34">
        <v>264.4</v>
      </c>
      <c r="Y464" s="31"/>
      <c r="Z464" s="31"/>
      <c r="AA464" s="31"/>
      <c r="AB464" s="31"/>
    </row>
    <row r="465" customHeight="1" spans="2:28">
      <c r="B465" s="6" t="str">
        <f t="shared" si="7"/>
        <v>43115-DT1EJ20250101-A-JIEU8017930-PARTS</v>
      </c>
      <c r="C465" t="s">
        <v>80</v>
      </c>
      <c r="D465" t="s">
        <v>81</v>
      </c>
      <c r="E465" t="s">
        <v>393</v>
      </c>
      <c r="F465" t="s">
        <v>394</v>
      </c>
      <c r="G465" s="1" t="s">
        <v>84</v>
      </c>
      <c r="I465" s="1" t="s">
        <v>85</v>
      </c>
      <c r="J465" s="1" t="s">
        <v>395</v>
      </c>
      <c r="K465" s="1" t="s">
        <v>399</v>
      </c>
      <c r="L465">
        <v>6307909800</v>
      </c>
      <c r="M465" s="2" t="s">
        <v>400</v>
      </c>
      <c r="N465" s="3" t="s">
        <v>401</v>
      </c>
      <c r="O465" s="1">
        <v>60</v>
      </c>
      <c r="P465" s="4">
        <v>18.35</v>
      </c>
      <c r="Q465" s="4">
        <v>88.2</v>
      </c>
      <c r="R465" s="4">
        <v>2.4</v>
      </c>
      <c r="S465" s="4">
        <v>19.86</v>
      </c>
      <c r="T465" s="5">
        <v>0.122</v>
      </c>
      <c r="U465" s="5">
        <v>7.32</v>
      </c>
      <c r="V465" s="5">
        <v>0.17</v>
      </c>
      <c r="W465" s="5">
        <v>10.2</v>
      </c>
      <c r="X465" s="4">
        <v>1191.6</v>
      </c>
    </row>
    <row r="466" customHeight="1" spans="2:28">
      <c r="B466" s="6" t="str">
        <f t="shared" si="7"/>
        <v>43115-DT1EJ20250101-A-JIEU8017930-PARTS</v>
      </c>
      <c r="C466" t="s">
        <v>80</v>
      </c>
      <c r="D466" t="s">
        <v>81</v>
      </c>
      <c r="E466" t="s">
        <v>393</v>
      </c>
      <c r="F466" t="s">
        <v>394</v>
      </c>
      <c r="G466" s="1" t="s">
        <v>84</v>
      </c>
      <c r="I466" s="1" t="s">
        <v>85</v>
      </c>
      <c r="J466" s="1" t="s">
        <v>395</v>
      </c>
      <c r="K466" s="1" t="s">
        <v>399</v>
      </c>
      <c r="L466">
        <v>6307909800</v>
      </c>
      <c r="M466" s="2" t="s">
        <v>400</v>
      </c>
      <c r="N466" s="3" t="s">
        <v>401</v>
      </c>
      <c r="O466" s="1">
        <v>60</v>
      </c>
      <c r="P466" s="4">
        <v>18.35</v>
      </c>
      <c r="Q466" s="4">
        <v>88.2</v>
      </c>
      <c r="R466" s="4">
        <v>2.4</v>
      </c>
      <c r="S466" s="4">
        <v>19.86</v>
      </c>
      <c r="T466" s="5">
        <v>0.122</v>
      </c>
      <c r="U466" s="5">
        <v>7.32</v>
      </c>
      <c r="V466" s="5">
        <v>0.17</v>
      </c>
      <c r="W466" s="5">
        <v>10.2</v>
      </c>
      <c r="X466" s="4">
        <v>1191.6</v>
      </c>
    </row>
    <row r="467" customHeight="1" spans="2:28">
      <c r="B467" s="6" t="str">
        <f t="shared" si="7"/>
        <v>43115-DT1EJ20250101-A-JIEU8017930-PARTS</v>
      </c>
      <c r="C467" t="s">
        <v>80</v>
      </c>
      <c r="D467" t="s">
        <v>81</v>
      </c>
      <c r="E467" t="s">
        <v>393</v>
      </c>
      <c r="F467" t="s">
        <v>394</v>
      </c>
      <c r="G467" s="1" t="s">
        <v>84</v>
      </c>
      <c r="I467" s="1" t="s">
        <v>85</v>
      </c>
      <c r="J467" s="1" t="s">
        <v>395</v>
      </c>
      <c r="K467" s="1" t="s">
        <v>402</v>
      </c>
      <c r="L467">
        <v>4009320000</v>
      </c>
      <c r="M467" s="2" t="s">
        <v>403</v>
      </c>
      <c r="N467" s="3" t="s">
        <v>404</v>
      </c>
      <c r="O467" s="1">
        <v>10</v>
      </c>
      <c r="P467" s="4">
        <v>72.79</v>
      </c>
      <c r="Q467" s="4">
        <v>58.3</v>
      </c>
      <c r="R467" s="4">
        <v>1.7</v>
      </c>
      <c r="S467" s="4">
        <v>78.79</v>
      </c>
      <c r="T467" s="5">
        <v>1.213</v>
      </c>
      <c r="U467" s="5">
        <v>12.13</v>
      </c>
      <c r="V467" s="5">
        <v>1.66</v>
      </c>
      <c r="W467" s="5">
        <v>16.6</v>
      </c>
      <c r="X467" s="4">
        <v>787.9</v>
      </c>
    </row>
    <row r="468" customHeight="1" spans="2:28">
      <c r="B468" s="6" t="str">
        <f t="shared" si="7"/>
        <v>43115-DT1EJ20250101-A-JIEU8017930-PARTS</v>
      </c>
      <c r="C468" t="s">
        <v>80</v>
      </c>
      <c r="D468" t="s">
        <v>81</v>
      </c>
      <c r="E468" t="s">
        <v>393</v>
      </c>
      <c r="F468" t="s">
        <v>394</v>
      </c>
      <c r="G468" s="1" t="s">
        <v>84</v>
      </c>
      <c r="I468" s="1" t="s">
        <v>85</v>
      </c>
      <c r="J468" s="1" t="s">
        <v>395</v>
      </c>
      <c r="K468" s="1" t="s">
        <v>402</v>
      </c>
      <c r="L468">
        <v>4009320000</v>
      </c>
      <c r="M468" s="2" t="s">
        <v>403</v>
      </c>
      <c r="N468" s="3" t="s">
        <v>404</v>
      </c>
      <c r="O468" s="1">
        <v>10</v>
      </c>
      <c r="P468" s="4">
        <v>72.79</v>
      </c>
      <c r="Q468" s="4">
        <v>58.3</v>
      </c>
      <c r="R468" s="4">
        <v>1.7</v>
      </c>
      <c r="S468" s="4">
        <v>78.79</v>
      </c>
      <c r="T468" s="5">
        <v>1.213</v>
      </c>
      <c r="U468" s="5">
        <v>12.13</v>
      </c>
      <c r="V468" s="5">
        <v>1.66</v>
      </c>
      <c r="W468" s="5">
        <v>16.6</v>
      </c>
      <c r="X468" s="4">
        <v>787.9</v>
      </c>
    </row>
    <row r="469" customHeight="1" spans="2:28">
      <c r="B469" s="6" t="str">
        <f t="shared" si="7"/>
        <v>43115-DT1EJ20250101-A-JIEU8017930-PARTS</v>
      </c>
      <c r="C469" s="29" t="s">
        <v>80</v>
      </c>
      <c r="D469" s="30" t="s">
        <v>81</v>
      </c>
      <c r="E469" s="30" t="s">
        <v>393</v>
      </c>
      <c r="F469" s="30" t="s">
        <v>394</v>
      </c>
      <c r="G469" s="31" t="s">
        <v>84</v>
      </c>
      <c r="H469" s="31"/>
      <c r="I469" s="31" t="s">
        <v>85</v>
      </c>
      <c r="J469" s="31" t="s">
        <v>395</v>
      </c>
      <c r="K469" s="31" t="s">
        <v>402</v>
      </c>
      <c r="L469" s="31">
        <v>4009320000</v>
      </c>
      <c r="M469" s="32" t="s">
        <v>403</v>
      </c>
      <c r="N469" s="33" t="s">
        <v>404</v>
      </c>
      <c r="O469" s="31">
        <v>10</v>
      </c>
      <c r="P469" s="34">
        <v>72.79</v>
      </c>
      <c r="Q469" s="34">
        <v>58.3</v>
      </c>
      <c r="R469" s="34">
        <v>1.7</v>
      </c>
      <c r="S469" s="34">
        <v>78.79</v>
      </c>
      <c r="T469" s="35">
        <v>1.213</v>
      </c>
      <c r="U469" s="35">
        <v>12.13</v>
      </c>
      <c r="V469" s="35">
        <v>1.66</v>
      </c>
      <c r="W469" s="35">
        <v>16.6</v>
      </c>
      <c r="X469" s="34">
        <v>787.9</v>
      </c>
      <c r="Y469" s="31"/>
      <c r="Z469" s="31"/>
      <c r="AA469" s="31"/>
      <c r="AB469" s="31"/>
    </row>
    <row r="470" customHeight="1" spans="2:28">
      <c r="B470" s="6" t="str">
        <f t="shared" si="7"/>
        <v>43115-DT1EJ20250101-A-JIEU8017930-PARTS</v>
      </c>
      <c r="C470" t="s">
        <v>80</v>
      </c>
      <c r="D470" t="s">
        <v>81</v>
      </c>
      <c r="E470" t="s">
        <v>393</v>
      </c>
      <c r="F470" t="s">
        <v>394</v>
      </c>
      <c r="G470" s="1" t="s">
        <v>84</v>
      </c>
      <c r="I470" s="1" t="s">
        <v>85</v>
      </c>
      <c r="J470" s="1" t="s">
        <v>395</v>
      </c>
      <c r="K470" s="1" t="s">
        <v>402</v>
      </c>
      <c r="L470">
        <v>4009320000</v>
      </c>
      <c r="M470" s="2" t="s">
        <v>403</v>
      </c>
      <c r="N470" s="3" t="s">
        <v>404</v>
      </c>
      <c r="O470" s="1">
        <v>10</v>
      </c>
      <c r="P470" s="4">
        <v>72.79</v>
      </c>
      <c r="Q470" s="4">
        <v>58.3</v>
      </c>
      <c r="R470" s="4">
        <v>1.7</v>
      </c>
      <c r="S470" s="4">
        <v>78.79</v>
      </c>
      <c r="T470" s="5">
        <v>1.213</v>
      </c>
      <c r="U470" s="5">
        <v>12.13</v>
      </c>
      <c r="V470" s="5">
        <v>1.66</v>
      </c>
      <c r="W470" s="5">
        <v>16.6</v>
      </c>
      <c r="X470" s="4">
        <v>787.9</v>
      </c>
    </row>
    <row r="471" customHeight="1" spans="2:28">
      <c r="B471" s="6" t="str">
        <f t="shared" si="7"/>
        <v>43115-DT1EJ20250101-A-JIEU8017930-PARTS</v>
      </c>
      <c r="C471" t="s">
        <v>80</v>
      </c>
      <c r="D471" t="s">
        <v>81</v>
      </c>
      <c r="E471" t="s">
        <v>393</v>
      </c>
      <c r="F471" t="s">
        <v>394</v>
      </c>
      <c r="G471" s="1" t="s">
        <v>84</v>
      </c>
      <c r="I471" s="1" t="s">
        <v>85</v>
      </c>
      <c r="J471" s="1" t="s">
        <v>395</v>
      </c>
      <c r="K471" s="1" t="s">
        <v>402</v>
      </c>
      <c r="L471">
        <v>4009320000</v>
      </c>
      <c r="M471" s="2" t="s">
        <v>403</v>
      </c>
      <c r="N471" s="3" t="s">
        <v>404</v>
      </c>
      <c r="O471" s="1">
        <v>10</v>
      </c>
      <c r="P471" s="4">
        <v>72.79</v>
      </c>
      <c r="Q471" s="4">
        <v>58.3</v>
      </c>
      <c r="R471" s="4">
        <v>1.7</v>
      </c>
      <c r="S471" s="4">
        <v>78.79</v>
      </c>
      <c r="T471" s="5">
        <v>1.213</v>
      </c>
      <c r="U471" s="5">
        <v>12.13</v>
      </c>
      <c r="V471" s="5">
        <v>1.66</v>
      </c>
      <c r="W471" s="5">
        <v>16.6</v>
      </c>
      <c r="X471" s="4">
        <v>787.9</v>
      </c>
    </row>
    <row r="472" customHeight="1" spans="2:28">
      <c r="B472" s="6" t="str">
        <f t="shared" si="7"/>
        <v>43115-DT1EJ20250101-A-JIEU8017930-PARTS</v>
      </c>
      <c r="C472" s="29" t="s">
        <v>80</v>
      </c>
      <c r="D472" s="30" t="s">
        <v>81</v>
      </c>
      <c r="E472" s="30" t="s">
        <v>393</v>
      </c>
      <c r="F472" s="30" t="s">
        <v>394</v>
      </c>
      <c r="G472" s="31" t="s">
        <v>84</v>
      </c>
      <c r="H472" s="31"/>
      <c r="I472" s="31" t="s">
        <v>85</v>
      </c>
      <c r="J472" s="31" t="s">
        <v>395</v>
      </c>
      <c r="K472" s="31" t="s">
        <v>402</v>
      </c>
      <c r="L472" s="31">
        <v>4009320000</v>
      </c>
      <c r="M472" s="32" t="s">
        <v>403</v>
      </c>
      <c r="N472" s="33" t="s">
        <v>404</v>
      </c>
      <c r="O472" s="31">
        <v>10</v>
      </c>
      <c r="P472" s="34">
        <v>72.79</v>
      </c>
      <c r="Q472" s="34">
        <v>58.3</v>
      </c>
      <c r="R472" s="34">
        <v>1.7</v>
      </c>
      <c r="S472" s="34">
        <v>78.79</v>
      </c>
      <c r="T472" s="35">
        <v>1.213</v>
      </c>
      <c r="U472" s="35">
        <v>12.13</v>
      </c>
      <c r="V472" s="35">
        <v>1.66</v>
      </c>
      <c r="W472" s="35">
        <v>16.6</v>
      </c>
      <c r="X472" s="34">
        <v>787.9</v>
      </c>
      <c r="Y472" s="31"/>
      <c r="Z472" s="31"/>
      <c r="AA472" s="31"/>
      <c r="AB472" s="31"/>
    </row>
    <row r="473" customHeight="1" spans="2:28">
      <c r="B473" s="6" t="str">
        <f t="shared" si="7"/>
        <v>43115-DT1EJ20250101-A-JIEU8017930-PARTS</v>
      </c>
      <c r="C473" t="s">
        <v>80</v>
      </c>
      <c r="D473" t="s">
        <v>81</v>
      </c>
      <c r="E473" t="s">
        <v>393</v>
      </c>
      <c r="F473" t="s">
        <v>394</v>
      </c>
      <c r="G473" s="1" t="s">
        <v>84</v>
      </c>
      <c r="I473" s="1" t="s">
        <v>85</v>
      </c>
      <c r="J473" s="1" t="s">
        <v>395</v>
      </c>
      <c r="K473" s="1" t="s">
        <v>402</v>
      </c>
      <c r="L473">
        <v>4009320000</v>
      </c>
      <c r="M473" s="2" t="s">
        <v>403</v>
      </c>
      <c r="N473" s="3" t="s">
        <v>404</v>
      </c>
      <c r="O473" s="1">
        <v>10</v>
      </c>
      <c r="P473" s="4">
        <v>72.79</v>
      </c>
      <c r="Q473" s="4">
        <v>58.3</v>
      </c>
      <c r="R473" s="4">
        <v>1.7</v>
      </c>
      <c r="S473" s="4">
        <v>78.79</v>
      </c>
      <c r="T473" s="5">
        <v>1.213</v>
      </c>
      <c r="U473" s="5">
        <v>12.13</v>
      </c>
      <c r="V473" s="5">
        <v>1.66</v>
      </c>
      <c r="W473" s="5">
        <v>16.6</v>
      </c>
      <c r="X473" s="4">
        <v>787.9</v>
      </c>
    </row>
    <row r="474" customHeight="1" spans="2:28">
      <c r="B474" s="6" t="str">
        <f t="shared" si="7"/>
        <v>43115-DT1EJ20250101-A-JIEU8017930-PARTS</v>
      </c>
      <c r="C474" t="s">
        <v>80</v>
      </c>
      <c r="D474" t="s">
        <v>81</v>
      </c>
      <c r="E474" t="s">
        <v>393</v>
      </c>
      <c r="F474" t="s">
        <v>394</v>
      </c>
      <c r="G474" s="1" t="s">
        <v>84</v>
      </c>
      <c r="I474" s="1" t="s">
        <v>85</v>
      </c>
      <c r="J474" s="1" t="s">
        <v>395</v>
      </c>
      <c r="K474" s="1" t="s">
        <v>402</v>
      </c>
      <c r="L474">
        <v>4009320000</v>
      </c>
      <c r="M474" s="2" t="s">
        <v>403</v>
      </c>
      <c r="N474" s="3" t="s">
        <v>404</v>
      </c>
      <c r="O474" s="1">
        <v>10</v>
      </c>
      <c r="P474" s="4">
        <v>72.79</v>
      </c>
      <c r="Q474" s="4">
        <v>58.3</v>
      </c>
      <c r="R474" s="4">
        <v>1.7</v>
      </c>
      <c r="S474" s="4">
        <v>78.79</v>
      </c>
      <c r="T474" s="5">
        <v>1.213</v>
      </c>
      <c r="U474" s="5">
        <v>12.13</v>
      </c>
      <c r="V474" s="5">
        <v>1.66</v>
      </c>
      <c r="W474" s="5">
        <v>16.6</v>
      </c>
      <c r="X474" s="4">
        <v>787.9</v>
      </c>
    </row>
    <row r="475" customHeight="1" spans="2:28">
      <c r="B475" s="6" t="str">
        <f t="shared" si="7"/>
        <v>43115-DT1EJ20250101-A-JIEU8017930-PARTS</v>
      </c>
      <c r="C475" s="29" t="s">
        <v>80</v>
      </c>
      <c r="D475" s="30" t="s">
        <v>81</v>
      </c>
      <c r="E475" s="30" t="s">
        <v>393</v>
      </c>
      <c r="F475" s="30" t="s">
        <v>394</v>
      </c>
      <c r="G475" s="31" t="s">
        <v>84</v>
      </c>
      <c r="H475" s="31"/>
      <c r="I475" s="31" t="s">
        <v>85</v>
      </c>
      <c r="J475" s="31" t="s">
        <v>395</v>
      </c>
      <c r="K475" s="31" t="s">
        <v>402</v>
      </c>
      <c r="L475" s="31">
        <v>4009320000</v>
      </c>
      <c r="M475" s="32" t="s">
        <v>403</v>
      </c>
      <c r="N475" s="33" t="s">
        <v>404</v>
      </c>
      <c r="O475" s="31">
        <v>10</v>
      </c>
      <c r="P475" s="34">
        <v>72.79</v>
      </c>
      <c r="Q475" s="34">
        <v>58.3</v>
      </c>
      <c r="R475" s="34">
        <v>1.7</v>
      </c>
      <c r="S475" s="34">
        <v>78.79</v>
      </c>
      <c r="T475" s="35">
        <v>1.213</v>
      </c>
      <c r="U475" s="35">
        <v>12.13</v>
      </c>
      <c r="V475" s="35">
        <v>1.66</v>
      </c>
      <c r="W475" s="35">
        <v>16.6</v>
      </c>
      <c r="X475" s="34">
        <v>787.9</v>
      </c>
      <c r="Y475" s="31"/>
      <c r="Z475" s="31"/>
      <c r="AA475" s="31"/>
      <c r="AB475" s="31"/>
    </row>
    <row r="476" customHeight="1" spans="2:28">
      <c r="B476" s="6" t="str">
        <f t="shared" si="7"/>
        <v>43115-DT1EJ20250101-A-JIEU8017930-PARTS</v>
      </c>
      <c r="C476" s="29" t="s">
        <v>80</v>
      </c>
      <c r="D476" s="30" t="s">
        <v>81</v>
      </c>
      <c r="E476" s="30" t="s">
        <v>393</v>
      </c>
      <c r="F476" s="30" t="s">
        <v>394</v>
      </c>
      <c r="G476" s="31" t="s">
        <v>84</v>
      </c>
      <c r="H476" s="31"/>
      <c r="I476" s="31" t="s">
        <v>85</v>
      </c>
      <c r="J476" s="31" t="s">
        <v>395</v>
      </c>
      <c r="K476" s="31" t="s">
        <v>402</v>
      </c>
      <c r="L476" s="31">
        <v>4009320000</v>
      </c>
      <c r="M476" s="32" t="s">
        <v>403</v>
      </c>
      <c r="N476" s="33" t="s">
        <v>404</v>
      </c>
      <c r="O476" s="31">
        <v>10</v>
      </c>
      <c r="P476" s="34">
        <v>72.79</v>
      </c>
      <c r="Q476" s="34">
        <v>58.3</v>
      </c>
      <c r="R476" s="34">
        <v>1.7</v>
      </c>
      <c r="S476" s="34">
        <v>78.79</v>
      </c>
      <c r="T476" s="35">
        <v>1.213</v>
      </c>
      <c r="U476" s="35">
        <v>12.13</v>
      </c>
      <c r="V476" s="35">
        <v>1.66</v>
      </c>
      <c r="W476" s="35">
        <v>16.6</v>
      </c>
      <c r="X476" s="34">
        <v>787.9</v>
      </c>
      <c r="Y476" s="31"/>
      <c r="Z476" s="31"/>
      <c r="AA476" s="31"/>
      <c r="AB476" s="31"/>
    </row>
    <row r="477" customHeight="1" spans="2:28">
      <c r="B477" s="6" t="str">
        <f t="shared" si="7"/>
        <v>43115-DT1EJ20250101-A-JIEU8017930-PARTS</v>
      </c>
      <c r="C477" s="29" t="s">
        <v>80</v>
      </c>
      <c r="D477" s="30" t="s">
        <v>81</v>
      </c>
      <c r="E477" s="30" t="s">
        <v>393</v>
      </c>
      <c r="F477" s="30" t="s">
        <v>394</v>
      </c>
      <c r="G477" s="31" t="s">
        <v>84</v>
      </c>
      <c r="H477" s="31"/>
      <c r="I477" s="31" t="s">
        <v>85</v>
      </c>
      <c r="J477" s="31" t="s">
        <v>395</v>
      </c>
      <c r="K477" s="31" t="s">
        <v>402</v>
      </c>
      <c r="L477" s="31">
        <v>4009320000</v>
      </c>
      <c r="M477" s="32" t="s">
        <v>403</v>
      </c>
      <c r="N477" s="33" t="s">
        <v>404</v>
      </c>
      <c r="O477" s="31">
        <v>10</v>
      </c>
      <c r="P477" s="34">
        <v>72.79</v>
      </c>
      <c r="Q477" s="34">
        <v>58.3</v>
      </c>
      <c r="R477" s="34">
        <v>1.7</v>
      </c>
      <c r="S477" s="34">
        <v>78.79</v>
      </c>
      <c r="T477" s="35">
        <v>1.213</v>
      </c>
      <c r="U477" s="35">
        <v>12.13</v>
      </c>
      <c r="V477" s="35">
        <v>1.66</v>
      </c>
      <c r="W477" s="35">
        <v>16.6</v>
      </c>
      <c r="X477" s="34">
        <v>787.9</v>
      </c>
      <c r="Y477" s="31"/>
      <c r="Z477" s="31"/>
      <c r="AA477" s="31"/>
      <c r="AB477" s="31"/>
    </row>
    <row r="478" customHeight="1" spans="2:28">
      <c r="B478" s="6" t="str">
        <f t="shared" si="7"/>
        <v>43115-DT1EJ20250101-A-JIEU8017930-PARTS</v>
      </c>
      <c r="C478" s="29" t="s">
        <v>80</v>
      </c>
      <c r="D478" s="30" t="s">
        <v>81</v>
      </c>
      <c r="E478" s="30" t="s">
        <v>393</v>
      </c>
      <c r="F478" s="30" t="s">
        <v>394</v>
      </c>
      <c r="G478" s="31" t="s">
        <v>84</v>
      </c>
      <c r="H478" s="31"/>
      <c r="I478" s="31" t="s">
        <v>85</v>
      </c>
      <c r="J478" s="31" t="s">
        <v>395</v>
      </c>
      <c r="K478" s="31" t="s">
        <v>402</v>
      </c>
      <c r="L478" s="31">
        <v>4009320000</v>
      </c>
      <c r="M478" s="32" t="s">
        <v>403</v>
      </c>
      <c r="N478" s="33" t="s">
        <v>404</v>
      </c>
      <c r="O478" s="31">
        <v>10</v>
      </c>
      <c r="P478" s="34">
        <v>72.79</v>
      </c>
      <c r="Q478" s="34">
        <v>58.3</v>
      </c>
      <c r="R478" s="34">
        <v>1.7</v>
      </c>
      <c r="S478" s="34">
        <v>78.79</v>
      </c>
      <c r="T478" s="35">
        <v>1.213</v>
      </c>
      <c r="U478" s="35">
        <v>12.13</v>
      </c>
      <c r="V478" s="35">
        <v>1.66</v>
      </c>
      <c r="W478" s="35">
        <v>16.6</v>
      </c>
      <c r="X478" s="34">
        <v>787.9</v>
      </c>
      <c r="Y478" s="31"/>
      <c r="Z478" s="31"/>
      <c r="AA478" s="31"/>
      <c r="AB478" s="31"/>
    </row>
    <row r="479" customHeight="1" spans="2:28">
      <c r="B479" s="6" t="str">
        <f t="shared" si="7"/>
        <v>43115-DT1EJ20250101-A-JIEU8017930-PARTS</v>
      </c>
      <c r="C479" s="29" t="s">
        <v>80</v>
      </c>
      <c r="D479" s="30" t="s">
        <v>81</v>
      </c>
      <c r="E479" s="30" t="s">
        <v>393</v>
      </c>
      <c r="F479" s="30" t="s">
        <v>394</v>
      </c>
      <c r="G479" s="31" t="s">
        <v>84</v>
      </c>
      <c r="H479" s="31"/>
      <c r="I479" s="31" t="s">
        <v>85</v>
      </c>
      <c r="J479" s="31" t="s">
        <v>395</v>
      </c>
      <c r="K479" s="31" t="s">
        <v>405</v>
      </c>
      <c r="L479" s="31">
        <v>8708999709</v>
      </c>
      <c r="M479" s="32" t="s">
        <v>406</v>
      </c>
      <c r="N479" s="33" t="s">
        <v>407</v>
      </c>
      <c r="O479" s="31">
        <v>20</v>
      </c>
      <c r="P479" s="34">
        <v>45.49</v>
      </c>
      <c r="Q479" s="34">
        <v>73</v>
      </c>
      <c r="R479" s="34">
        <v>2</v>
      </c>
      <c r="S479" s="34">
        <v>49.24</v>
      </c>
      <c r="T479" s="35">
        <v>0.734</v>
      </c>
      <c r="U479" s="35">
        <v>14.68</v>
      </c>
      <c r="V479" s="35">
        <v>1</v>
      </c>
      <c r="W479" s="35">
        <v>20</v>
      </c>
      <c r="X479" s="34">
        <v>984.8</v>
      </c>
      <c r="Y479" s="31"/>
      <c r="Z479" s="31"/>
      <c r="AA479" s="31"/>
      <c r="AB479" s="31"/>
    </row>
    <row r="480" customHeight="1" spans="2:28">
      <c r="B480" s="6" t="str">
        <f t="shared" si="7"/>
        <v>43115-DT1EJ20250101-A-JIEU8017930-PARTS</v>
      </c>
      <c r="C480" s="29" t="s">
        <v>80</v>
      </c>
      <c r="D480" s="30" t="s">
        <v>81</v>
      </c>
      <c r="E480" s="30" t="s">
        <v>393</v>
      </c>
      <c r="F480" s="30" t="s">
        <v>394</v>
      </c>
      <c r="G480" s="31" t="s">
        <v>84</v>
      </c>
      <c r="H480" s="31"/>
      <c r="I480" s="31" t="s">
        <v>85</v>
      </c>
      <c r="J480" s="31" t="s">
        <v>395</v>
      </c>
      <c r="K480" s="31" t="s">
        <v>405</v>
      </c>
      <c r="L480" s="31">
        <v>8708999709</v>
      </c>
      <c r="M480" s="32" t="s">
        <v>406</v>
      </c>
      <c r="N480" s="33" t="s">
        <v>407</v>
      </c>
      <c r="O480" s="31">
        <v>20</v>
      </c>
      <c r="P480" s="34">
        <v>45.49</v>
      </c>
      <c r="Q480" s="34">
        <v>73</v>
      </c>
      <c r="R480" s="34">
        <v>2</v>
      </c>
      <c r="S480" s="34">
        <v>49.24</v>
      </c>
      <c r="T480" s="35">
        <v>0.734</v>
      </c>
      <c r="U480" s="35">
        <v>14.68</v>
      </c>
      <c r="V480" s="35">
        <v>1</v>
      </c>
      <c r="W480" s="35">
        <v>20</v>
      </c>
      <c r="X480" s="34">
        <v>984.8</v>
      </c>
      <c r="Y480" s="31"/>
      <c r="Z480" s="31"/>
      <c r="AA480" s="31"/>
      <c r="AB480" s="31"/>
    </row>
    <row r="481" customHeight="1" spans="2:28">
      <c r="B481" s="6" t="str">
        <f t="shared" si="7"/>
        <v>43115-DT1EJ20250101-A-JIEU8017930-PARTS</v>
      </c>
      <c r="C481" s="29" t="s">
        <v>80</v>
      </c>
      <c r="D481" s="30" t="s">
        <v>81</v>
      </c>
      <c r="E481" s="30" t="s">
        <v>393</v>
      </c>
      <c r="F481" s="30" t="s">
        <v>394</v>
      </c>
      <c r="G481" s="31" t="s">
        <v>84</v>
      </c>
      <c r="H481" s="31"/>
      <c r="I481" s="31" t="s">
        <v>85</v>
      </c>
      <c r="J481" s="31" t="s">
        <v>395</v>
      </c>
      <c r="K481" s="31" t="s">
        <v>405</v>
      </c>
      <c r="L481" s="31">
        <v>8708999709</v>
      </c>
      <c r="M481" s="32" t="s">
        <v>406</v>
      </c>
      <c r="N481" s="33" t="s">
        <v>407</v>
      </c>
      <c r="O481" s="31">
        <v>20</v>
      </c>
      <c r="P481" s="34">
        <v>45.49</v>
      </c>
      <c r="Q481" s="34">
        <v>73</v>
      </c>
      <c r="R481" s="34">
        <v>2</v>
      </c>
      <c r="S481" s="34">
        <v>49.24</v>
      </c>
      <c r="T481" s="35">
        <v>0.734</v>
      </c>
      <c r="U481" s="35">
        <v>14.68</v>
      </c>
      <c r="V481" s="35">
        <v>1</v>
      </c>
      <c r="W481" s="35">
        <v>20</v>
      </c>
      <c r="X481" s="34">
        <v>984.8</v>
      </c>
      <c r="Y481" s="31"/>
      <c r="Z481" s="31"/>
      <c r="AA481" s="31"/>
      <c r="AB481" s="31"/>
    </row>
    <row r="482" customHeight="1" spans="2:28">
      <c r="B482" s="6" t="str">
        <f t="shared" si="7"/>
        <v>43115-DT1EJ20250101-A-JIEU8017930-PARTS</v>
      </c>
      <c r="C482" t="s">
        <v>80</v>
      </c>
      <c r="D482" t="s">
        <v>81</v>
      </c>
      <c r="E482" t="s">
        <v>393</v>
      </c>
      <c r="F482" t="s">
        <v>394</v>
      </c>
      <c r="G482" s="1" t="s">
        <v>84</v>
      </c>
      <c r="I482" s="1" t="s">
        <v>85</v>
      </c>
      <c r="J482" s="1" t="s">
        <v>395</v>
      </c>
      <c r="K482" s="1" t="s">
        <v>405</v>
      </c>
      <c r="L482">
        <v>8708999709</v>
      </c>
      <c r="M482" s="2" t="s">
        <v>406</v>
      </c>
      <c r="N482" s="3" t="s">
        <v>407</v>
      </c>
      <c r="O482" s="1">
        <v>20</v>
      </c>
      <c r="P482" s="4">
        <v>45.49</v>
      </c>
      <c r="Q482" s="4">
        <v>73</v>
      </c>
      <c r="R482" s="4">
        <v>2</v>
      </c>
      <c r="S482" s="4">
        <v>49.24</v>
      </c>
      <c r="T482" s="5">
        <v>0.734</v>
      </c>
      <c r="U482" s="5">
        <v>14.68</v>
      </c>
      <c r="V482" s="5">
        <v>1</v>
      </c>
      <c r="W482" s="5">
        <v>20</v>
      </c>
      <c r="X482" s="4">
        <v>984.8</v>
      </c>
    </row>
    <row r="483" customHeight="1" spans="2:28">
      <c r="B483" s="6" t="str">
        <f t="shared" si="7"/>
        <v>43115-DT1EJ20250101-A-JIEU8017930-PARTS</v>
      </c>
      <c r="C483" t="s">
        <v>80</v>
      </c>
      <c r="D483" t="s">
        <v>81</v>
      </c>
      <c r="E483" t="s">
        <v>393</v>
      </c>
      <c r="F483" t="s">
        <v>394</v>
      </c>
      <c r="G483" s="1" t="s">
        <v>84</v>
      </c>
      <c r="I483" s="1" t="s">
        <v>85</v>
      </c>
      <c r="J483" s="1" t="s">
        <v>395</v>
      </c>
      <c r="K483" s="1" t="s">
        <v>405</v>
      </c>
      <c r="L483">
        <v>8708999709</v>
      </c>
      <c r="M483" s="2" t="s">
        <v>406</v>
      </c>
      <c r="N483" s="3" t="s">
        <v>407</v>
      </c>
      <c r="O483" s="1">
        <v>20</v>
      </c>
      <c r="P483" s="4">
        <v>45.49</v>
      </c>
      <c r="Q483" s="4">
        <v>73</v>
      </c>
      <c r="R483" s="4">
        <v>2</v>
      </c>
      <c r="S483" s="4">
        <v>49.24</v>
      </c>
      <c r="T483" s="5">
        <v>0.734</v>
      </c>
      <c r="U483" s="5">
        <v>14.68</v>
      </c>
      <c r="V483" s="5">
        <v>1</v>
      </c>
      <c r="W483" s="5">
        <v>20</v>
      </c>
      <c r="X483" s="4">
        <v>984.8</v>
      </c>
    </row>
    <row r="484" customHeight="1" spans="2:28">
      <c r="B484" s="6" t="str">
        <f t="shared" si="7"/>
        <v>43115-DT1EJ20250101-A-JIEU8017930-PARTS</v>
      </c>
      <c r="C484" s="29" t="s">
        <v>80</v>
      </c>
      <c r="D484" s="30" t="s">
        <v>81</v>
      </c>
      <c r="E484" s="30" t="s">
        <v>393</v>
      </c>
      <c r="F484" s="30" t="s">
        <v>394</v>
      </c>
      <c r="G484" s="31" t="s">
        <v>84</v>
      </c>
      <c r="H484" s="31"/>
      <c r="I484" s="31" t="s">
        <v>85</v>
      </c>
      <c r="J484" s="31" t="s">
        <v>395</v>
      </c>
      <c r="K484" s="31" t="s">
        <v>405</v>
      </c>
      <c r="L484" s="31">
        <v>8708999709</v>
      </c>
      <c r="M484" s="32" t="s">
        <v>406</v>
      </c>
      <c r="N484" s="33" t="s">
        <v>407</v>
      </c>
      <c r="O484" s="31">
        <v>20</v>
      </c>
      <c r="P484" s="34">
        <v>45.49</v>
      </c>
      <c r="Q484" s="34">
        <v>73</v>
      </c>
      <c r="R484" s="34">
        <v>2</v>
      </c>
      <c r="S484" s="34">
        <v>49.24</v>
      </c>
      <c r="T484" s="35">
        <v>0.734</v>
      </c>
      <c r="U484" s="35">
        <v>14.68</v>
      </c>
      <c r="V484" s="35">
        <v>1</v>
      </c>
      <c r="W484" s="35">
        <v>20</v>
      </c>
      <c r="X484" s="34">
        <v>984.8</v>
      </c>
      <c r="Y484" s="31"/>
      <c r="Z484" s="31"/>
      <c r="AA484" s="31"/>
      <c r="AB484" s="31"/>
    </row>
    <row r="485" customHeight="1" spans="2:28">
      <c r="B485" s="6" t="str">
        <f t="shared" si="7"/>
        <v>43115-DT1EJ20250101-A-JIEU8017930-PARTS</v>
      </c>
      <c r="C485" s="29" t="s">
        <v>80</v>
      </c>
      <c r="D485" s="30" t="s">
        <v>81</v>
      </c>
      <c r="E485" s="30" t="s">
        <v>393</v>
      </c>
      <c r="F485" s="30" t="s">
        <v>394</v>
      </c>
      <c r="G485" s="31" t="s">
        <v>84</v>
      </c>
      <c r="H485" s="31"/>
      <c r="I485" s="31" t="s">
        <v>85</v>
      </c>
      <c r="J485" s="31" t="s">
        <v>408</v>
      </c>
      <c r="K485" s="31" t="s">
        <v>409</v>
      </c>
      <c r="L485" s="31">
        <v>8544429007</v>
      </c>
      <c r="M485" s="32" t="s">
        <v>410</v>
      </c>
      <c r="N485" s="33" t="s">
        <v>411</v>
      </c>
      <c r="O485" s="31">
        <v>60</v>
      </c>
      <c r="P485" s="34">
        <v>34.83</v>
      </c>
      <c r="Q485" s="34">
        <v>167.4</v>
      </c>
      <c r="R485" s="34">
        <v>4.8</v>
      </c>
      <c r="S485" s="34">
        <v>37.7</v>
      </c>
      <c r="T485" s="35">
        <v>0.313</v>
      </c>
      <c r="U485" s="35">
        <v>18.78</v>
      </c>
      <c r="V485" s="35">
        <v>0.43</v>
      </c>
      <c r="W485" s="35">
        <v>25.8</v>
      </c>
      <c r="X485" s="34">
        <v>2262</v>
      </c>
      <c r="Y485" s="31">
        <v>2280</v>
      </c>
      <c r="Z485" s="31">
        <v>1480</v>
      </c>
      <c r="AA485" s="31">
        <v>1280</v>
      </c>
      <c r="AB485" s="31">
        <v>4.32</v>
      </c>
    </row>
    <row r="486" customHeight="1" spans="2:28">
      <c r="B486" s="6" t="str">
        <f t="shared" si="7"/>
        <v>43115-DT1EJ20250101-A-JIEU8017930-PARTS</v>
      </c>
      <c r="C486" t="s">
        <v>80</v>
      </c>
      <c r="D486" t="s">
        <v>81</v>
      </c>
      <c r="E486" t="s">
        <v>393</v>
      </c>
      <c r="F486" t="s">
        <v>394</v>
      </c>
      <c r="G486" s="1" t="s">
        <v>84</v>
      </c>
      <c r="I486" s="1" t="s">
        <v>85</v>
      </c>
      <c r="J486" s="1" t="s">
        <v>408</v>
      </c>
      <c r="K486" s="1" t="s">
        <v>409</v>
      </c>
      <c r="L486">
        <v>8544429007</v>
      </c>
      <c r="M486" s="2" t="s">
        <v>410</v>
      </c>
      <c r="N486" s="3" t="s">
        <v>411</v>
      </c>
      <c r="O486" s="1">
        <v>60</v>
      </c>
      <c r="P486" s="4">
        <v>34.83</v>
      </c>
      <c r="Q486" s="4">
        <v>167.4</v>
      </c>
      <c r="R486" s="4">
        <v>4.8</v>
      </c>
      <c r="S486" s="4">
        <v>37.7</v>
      </c>
      <c r="T486" s="5">
        <v>0.313</v>
      </c>
      <c r="U486" s="5">
        <v>18.78</v>
      </c>
      <c r="V486" s="5">
        <v>0.43</v>
      </c>
      <c r="W486" s="5">
        <v>25.8</v>
      </c>
      <c r="X486" s="4">
        <v>2262</v>
      </c>
    </row>
    <row r="487" customHeight="1" spans="2:28">
      <c r="B487" s="6" t="str">
        <f t="shared" si="7"/>
        <v>43115-DT1EJ20250101-A-JIEU8017930-PARTS</v>
      </c>
      <c r="C487" s="29" t="s">
        <v>80</v>
      </c>
      <c r="D487" s="30" t="s">
        <v>81</v>
      </c>
      <c r="E487" s="30" t="s">
        <v>393</v>
      </c>
      <c r="F487" s="30" t="s">
        <v>394</v>
      </c>
      <c r="G487" s="31" t="s">
        <v>84</v>
      </c>
      <c r="H487" s="31"/>
      <c r="I487" s="31" t="s">
        <v>85</v>
      </c>
      <c r="J487" s="31" t="s">
        <v>408</v>
      </c>
      <c r="K487" s="31" t="s">
        <v>412</v>
      </c>
      <c r="L487" s="31">
        <v>8708299009</v>
      </c>
      <c r="M487" s="32" t="s">
        <v>413</v>
      </c>
      <c r="N487" s="33" t="s">
        <v>414</v>
      </c>
      <c r="O487" s="31">
        <v>20</v>
      </c>
      <c r="P487" s="34">
        <v>22.51</v>
      </c>
      <c r="Q487" s="34">
        <v>36</v>
      </c>
      <c r="R487" s="34">
        <v>1</v>
      </c>
      <c r="S487" s="34">
        <v>24.36</v>
      </c>
      <c r="T487" s="35">
        <v>0.542</v>
      </c>
      <c r="U487" s="35">
        <v>10.84</v>
      </c>
      <c r="V487" s="35">
        <v>0.75</v>
      </c>
      <c r="W487" s="35">
        <v>15</v>
      </c>
      <c r="X487" s="34">
        <v>487.2</v>
      </c>
      <c r="Y487" s="31"/>
      <c r="Z487" s="31"/>
      <c r="AA487" s="31"/>
      <c r="AB487" s="31"/>
    </row>
    <row r="488" customHeight="1" spans="2:28">
      <c r="B488" s="6" t="str">
        <f t="shared" si="7"/>
        <v>43115-DT1EJ20250101-A-JIEU8017930-PARTS</v>
      </c>
      <c r="C488" s="29" t="s">
        <v>80</v>
      </c>
      <c r="D488" s="30" t="s">
        <v>81</v>
      </c>
      <c r="E488" s="30" t="s">
        <v>393</v>
      </c>
      <c r="F488" s="30" t="s">
        <v>394</v>
      </c>
      <c r="G488" s="31" t="s">
        <v>84</v>
      </c>
      <c r="H488" s="31"/>
      <c r="I488" s="31" t="s">
        <v>85</v>
      </c>
      <c r="J488" s="31" t="s">
        <v>408</v>
      </c>
      <c r="K488" s="31" t="s">
        <v>412</v>
      </c>
      <c r="L488" s="31">
        <v>8708299009</v>
      </c>
      <c r="M488" s="32" t="s">
        <v>413</v>
      </c>
      <c r="N488" s="33" t="s">
        <v>414</v>
      </c>
      <c r="O488" s="31">
        <v>20</v>
      </c>
      <c r="P488" s="34">
        <v>22.51</v>
      </c>
      <c r="Q488" s="34">
        <v>36</v>
      </c>
      <c r="R488" s="34">
        <v>1</v>
      </c>
      <c r="S488" s="34">
        <v>24.36</v>
      </c>
      <c r="T488" s="35">
        <v>0.542</v>
      </c>
      <c r="U488" s="35">
        <v>10.84</v>
      </c>
      <c r="V488" s="35">
        <v>0.75</v>
      </c>
      <c r="W488" s="35">
        <v>15</v>
      </c>
      <c r="X488" s="34">
        <v>487.2</v>
      </c>
      <c r="Y488" s="31"/>
      <c r="Z488" s="31"/>
      <c r="AA488" s="31"/>
      <c r="AB488" s="31"/>
    </row>
    <row r="489" customHeight="1" spans="2:28">
      <c r="B489" s="6" t="str">
        <f t="shared" si="7"/>
        <v>43115-DT1EJ20250101-A-JIEU8017930-PARTS</v>
      </c>
      <c r="C489" s="29" t="s">
        <v>80</v>
      </c>
      <c r="D489" s="30" t="s">
        <v>81</v>
      </c>
      <c r="E489" s="30" t="s">
        <v>393</v>
      </c>
      <c r="F489" s="30" t="s">
        <v>394</v>
      </c>
      <c r="G489" s="31" t="s">
        <v>84</v>
      </c>
      <c r="H489" s="31"/>
      <c r="I489" s="31" t="s">
        <v>85</v>
      </c>
      <c r="J489" s="31" t="s">
        <v>408</v>
      </c>
      <c r="K489" s="31" t="s">
        <v>412</v>
      </c>
      <c r="L489" s="31">
        <v>8708299009</v>
      </c>
      <c r="M489" s="32" t="s">
        <v>413</v>
      </c>
      <c r="N489" s="33" t="s">
        <v>414</v>
      </c>
      <c r="O489" s="31">
        <v>20</v>
      </c>
      <c r="P489" s="34">
        <v>22.51</v>
      </c>
      <c r="Q489" s="34">
        <v>36</v>
      </c>
      <c r="R489" s="34">
        <v>1</v>
      </c>
      <c r="S489" s="34">
        <v>24.36</v>
      </c>
      <c r="T489" s="35">
        <v>0.542</v>
      </c>
      <c r="U489" s="35">
        <v>10.84</v>
      </c>
      <c r="V489" s="35">
        <v>0.75</v>
      </c>
      <c r="W489" s="35">
        <v>15</v>
      </c>
      <c r="X489" s="34">
        <v>487.2</v>
      </c>
      <c r="Y489" s="31"/>
      <c r="Z489" s="31"/>
      <c r="AA489" s="31"/>
      <c r="AB489" s="31"/>
    </row>
    <row r="490" customHeight="1" spans="2:28">
      <c r="B490" s="6" t="str">
        <f t="shared" si="7"/>
        <v>43115-DT1EJ20250101-A-JIEU8017930-PARTS</v>
      </c>
      <c r="C490" s="29" t="s">
        <v>80</v>
      </c>
      <c r="D490" s="30" t="s">
        <v>81</v>
      </c>
      <c r="E490" s="30" t="s">
        <v>393</v>
      </c>
      <c r="F490" s="30" t="s">
        <v>394</v>
      </c>
      <c r="G490" s="31" t="s">
        <v>84</v>
      </c>
      <c r="H490" s="31"/>
      <c r="I490" s="31" t="s">
        <v>85</v>
      </c>
      <c r="J490" s="31" t="s">
        <v>408</v>
      </c>
      <c r="K490" s="31" t="s">
        <v>412</v>
      </c>
      <c r="L490" s="31">
        <v>8708299009</v>
      </c>
      <c r="M490" s="32" t="s">
        <v>413</v>
      </c>
      <c r="N490" s="33" t="s">
        <v>414</v>
      </c>
      <c r="O490" s="31">
        <v>20</v>
      </c>
      <c r="P490" s="34">
        <v>22.51</v>
      </c>
      <c r="Q490" s="34">
        <v>36</v>
      </c>
      <c r="R490" s="34">
        <v>1</v>
      </c>
      <c r="S490" s="34">
        <v>24.36</v>
      </c>
      <c r="T490" s="35">
        <v>0.542</v>
      </c>
      <c r="U490" s="35">
        <v>10.84</v>
      </c>
      <c r="V490" s="35">
        <v>0.75</v>
      </c>
      <c r="W490" s="35">
        <v>15</v>
      </c>
      <c r="X490" s="34">
        <v>487.2</v>
      </c>
      <c r="Y490" s="31"/>
      <c r="Z490" s="31"/>
      <c r="AA490" s="31"/>
      <c r="AB490" s="31"/>
    </row>
    <row r="491" customHeight="1" spans="2:28">
      <c r="B491" s="6" t="str">
        <f t="shared" si="7"/>
        <v>43115-DT1EJ20250101-A-JIEU8017930-PARTS</v>
      </c>
      <c r="C491" s="29" t="s">
        <v>80</v>
      </c>
      <c r="D491" s="30" t="s">
        <v>81</v>
      </c>
      <c r="E491" s="30" t="s">
        <v>393</v>
      </c>
      <c r="F491" s="30" t="s">
        <v>394</v>
      </c>
      <c r="G491" s="31" t="s">
        <v>84</v>
      </c>
      <c r="H491" s="31"/>
      <c r="I491" s="31" t="s">
        <v>85</v>
      </c>
      <c r="J491" s="31" t="s">
        <v>408</v>
      </c>
      <c r="K491" s="31" t="s">
        <v>412</v>
      </c>
      <c r="L491" s="31">
        <v>8708299009</v>
      </c>
      <c r="M491" s="32" t="s">
        <v>413</v>
      </c>
      <c r="N491" s="33" t="s">
        <v>414</v>
      </c>
      <c r="O491" s="31">
        <v>20</v>
      </c>
      <c r="P491" s="34">
        <v>22.51</v>
      </c>
      <c r="Q491" s="34">
        <v>36</v>
      </c>
      <c r="R491" s="34">
        <v>1</v>
      </c>
      <c r="S491" s="34">
        <v>24.36</v>
      </c>
      <c r="T491" s="35">
        <v>0.542</v>
      </c>
      <c r="U491" s="35">
        <v>10.84</v>
      </c>
      <c r="V491" s="35">
        <v>0.75</v>
      </c>
      <c r="W491" s="35">
        <v>15</v>
      </c>
      <c r="X491" s="34">
        <v>487.2</v>
      </c>
      <c r="Y491" s="31"/>
      <c r="Z491" s="31"/>
      <c r="AA491" s="31"/>
      <c r="AB491" s="31"/>
    </row>
    <row r="492" customHeight="1" spans="2:28">
      <c r="B492" s="6" t="str">
        <f t="shared" si="7"/>
        <v>43115-DT1EJ20250101-A-JIEU8017930-PARTS</v>
      </c>
      <c r="C492" s="29" t="s">
        <v>80</v>
      </c>
      <c r="D492" s="30" t="s">
        <v>81</v>
      </c>
      <c r="E492" s="30" t="s">
        <v>393</v>
      </c>
      <c r="F492" s="30" t="s">
        <v>394</v>
      </c>
      <c r="G492" s="31" t="s">
        <v>84</v>
      </c>
      <c r="H492" s="31"/>
      <c r="I492" s="31" t="s">
        <v>85</v>
      </c>
      <c r="J492" s="31" t="s">
        <v>408</v>
      </c>
      <c r="K492" s="31" t="s">
        <v>412</v>
      </c>
      <c r="L492" s="31">
        <v>8708299009</v>
      </c>
      <c r="M492" s="32" t="s">
        <v>413</v>
      </c>
      <c r="N492" s="33" t="s">
        <v>414</v>
      </c>
      <c r="O492" s="31">
        <v>20</v>
      </c>
      <c r="P492" s="34">
        <v>22.51</v>
      </c>
      <c r="Q492" s="34">
        <v>36</v>
      </c>
      <c r="R492" s="34">
        <v>1</v>
      </c>
      <c r="S492" s="34">
        <v>24.36</v>
      </c>
      <c r="T492" s="35">
        <v>0.542</v>
      </c>
      <c r="U492" s="35">
        <v>10.84</v>
      </c>
      <c r="V492" s="35">
        <v>0.75</v>
      </c>
      <c r="W492" s="35">
        <v>15</v>
      </c>
      <c r="X492" s="34">
        <v>487.2</v>
      </c>
      <c r="Y492" s="31"/>
      <c r="Z492" s="31"/>
      <c r="AA492" s="31"/>
      <c r="AB492" s="31"/>
    </row>
    <row r="493" customHeight="1" spans="2:28">
      <c r="B493" s="6" t="str">
        <f t="shared" si="7"/>
        <v>43115-DT1EJ20250101-A-JIEU8017930-PARTS</v>
      </c>
      <c r="C493" s="29" t="s">
        <v>80</v>
      </c>
      <c r="D493" s="30" t="s">
        <v>81</v>
      </c>
      <c r="E493" s="30" t="s">
        <v>393</v>
      </c>
      <c r="F493" s="30" t="s">
        <v>394</v>
      </c>
      <c r="G493" s="31" t="s">
        <v>84</v>
      </c>
      <c r="H493" s="31"/>
      <c r="I493" s="31" t="s">
        <v>85</v>
      </c>
      <c r="J493" s="31" t="s">
        <v>408</v>
      </c>
      <c r="K493" s="31" t="s">
        <v>313</v>
      </c>
      <c r="L493" s="31">
        <v>8544300007</v>
      </c>
      <c r="M493" s="32" t="s">
        <v>314</v>
      </c>
      <c r="N493" s="33" t="s">
        <v>315</v>
      </c>
      <c r="O493" s="31">
        <v>6</v>
      </c>
      <c r="P493" s="34">
        <v>344.6</v>
      </c>
      <c r="Q493" s="34">
        <v>165.72</v>
      </c>
      <c r="R493" s="34">
        <v>4.74</v>
      </c>
      <c r="S493" s="34">
        <v>373.01</v>
      </c>
      <c r="T493" s="35">
        <v>1.363</v>
      </c>
      <c r="U493" s="35">
        <v>8.178</v>
      </c>
      <c r="V493" s="35">
        <v>1.87</v>
      </c>
      <c r="W493" s="35">
        <v>11.22</v>
      </c>
      <c r="X493" s="34">
        <v>2238.06</v>
      </c>
      <c r="Y493" s="31"/>
      <c r="Z493" s="31"/>
      <c r="AA493" s="31"/>
      <c r="AB493" s="31"/>
    </row>
    <row r="494" customHeight="1" spans="2:28">
      <c r="B494" s="6" t="str">
        <f t="shared" si="7"/>
        <v>43115-DT1EJ20250101-A-JIEU8017930-PARTS</v>
      </c>
      <c r="C494" s="29" t="s">
        <v>80</v>
      </c>
      <c r="D494" s="30" t="s">
        <v>81</v>
      </c>
      <c r="E494" s="30" t="s">
        <v>393</v>
      </c>
      <c r="F494" s="30" t="s">
        <v>394</v>
      </c>
      <c r="G494" s="31" t="s">
        <v>84</v>
      </c>
      <c r="H494" s="31"/>
      <c r="I494" s="31" t="s">
        <v>85</v>
      </c>
      <c r="J494" s="31" t="s">
        <v>408</v>
      </c>
      <c r="K494" s="31" t="s">
        <v>313</v>
      </c>
      <c r="L494" s="31">
        <v>8544300007</v>
      </c>
      <c r="M494" s="32" t="s">
        <v>314</v>
      </c>
      <c r="N494" s="33" t="s">
        <v>315</v>
      </c>
      <c r="O494" s="31">
        <v>6</v>
      </c>
      <c r="P494" s="34">
        <v>344.6</v>
      </c>
      <c r="Q494" s="34">
        <v>165.72</v>
      </c>
      <c r="R494" s="34">
        <v>4.74</v>
      </c>
      <c r="S494" s="34">
        <v>373.01</v>
      </c>
      <c r="T494" s="35">
        <v>1.363</v>
      </c>
      <c r="U494" s="35">
        <v>8.178</v>
      </c>
      <c r="V494" s="35">
        <v>1.87</v>
      </c>
      <c r="W494" s="35">
        <v>11.22</v>
      </c>
      <c r="X494" s="34">
        <v>2238.06</v>
      </c>
      <c r="Y494" s="31"/>
      <c r="Z494" s="31"/>
      <c r="AA494" s="31"/>
      <c r="AB494" s="31"/>
    </row>
    <row r="495" customHeight="1" spans="2:28">
      <c r="B495" s="6" t="str">
        <f t="shared" si="7"/>
        <v>43115-DT1EJ20250101-A-JIEU8017930-PARTS</v>
      </c>
      <c r="C495" s="29" t="s">
        <v>80</v>
      </c>
      <c r="D495" s="30" t="s">
        <v>81</v>
      </c>
      <c r="E495" s="30" t="s">
        <v>393</v>
      </c>
      <c r="F495" s="30" t="s">
        <v>394</v>
      </c>
      <c r="G495" s="31" t="s">
        <v>84</v>
      </c>
      <c r="H495" s="31"/>
      <c r="I495" s="31" t="s">
        <v>85</v>
      </c>
      <c r="J495" s="31" t="s">
        <v>408</v>
      </c>
      <c r="K495" s="31" t="s">
        <v>313</v>
      </c>
      <c r="L495" s="31">
        <v>8544300007</v>
      </c>
      <c r="M495" s="32" t="s">
        <v>314</v>
      </c>
      <c r="N495" s="33" t="s">
        <v>315</v>
      </c>
      <c r="O495" s="31">
        <v>6</v>
      </c>
      <c r="P495" s="34">
        <v>344.6</v>
      </c>
      <c r="Q495" s="34">
        <v>165.72</v>
      </c>
      <c r="R495" s="34">
        <v>4.74</v>
      </c>
      <c r="S495" s="34">
        <v>373.01</v>
      </c>
      <c r="T495" s="35">
        <v>1.363</v>
      </c>
      <c r="U495" s="35">
        <v>8.178</v>
      </c>
      <c r="V495" s="35">
        <v>1.87</v>
      </c>
      <c r="W495" s="35">
        <v>11.22</v>
      </c>
      <c r="X495" s="34">
        <v>2238.06</v>
      </c>
      <c r="Y495" s="31"/>
      <c r="Z495" s="31"/>
      <c r="AA495" s="31"/>
      <c r="AB495" s="31"/>
    </row>
    <row r="496" customHeight="1" spans="2:28">
      <c r="B496" s="6" t="str">
        <f t="shared" si="7"/>
        <v>43115-DT1EJ20250101-A-JIEU8017930-PARTS</v>
      </c>
      <c r="C496" s="29" t="s">
        <v>80</v>
      </c>
      <c r="D496" s="30" t="s">
        <v>81</v>
      </c>
      <c r="E496" s="30" t="s">
        <v>393</v>
      </c>
      <c r="F496" s="30" t="s">
        <v>394</v>
      </c>
      <c r="G496" s="31" t="s">
        <v>84</v>
      </c>
      <c r="H496" s="31"/>
      <c r="I496" s="31" t="s">
        <v>85</v>
      </c>
      <c r="J496" s="31" t="s">
        <v>408</v>
      </c>
      <c r="K496" s="31" t="s">
        <v>313</v>
      </c>
      <c r="L496" s="31">
        <v>8544300007</v>
      </c>
      <c r="M496" s="32" t="s">
        <v>314</v>
      </c>
      <c r="N496" s="33" t="s">
        <v>315</v>
      </c>
      <c r="O496" s="31">
        <v>6</v>
      </c>
      <c r="P496" s="34">
        <v>344.6</v>
      </c>
      <c r="Q496" s="34">
        <v>165.72</v>
      </c>
      <c r="R496" s="34">
        <v>4.74</v>
      </c>
      <c r="S496" s="34">
        <v>373.01</v>
      </c>
      <c r="T496" s="35">
        <v>1.363</v>
      </c>
      <c r="U496" s="35">
        <v>8.178</v>
      </c>
      <c r="V496" s="35">
        <v>1.87</v>
      </c>
      <c r="W496" s="35">
        <v>11.22</v>
      </c>
      <c r="X496" s="34">
        <v>2238.06</v>
      </c>
      <c r="Y496" s="31"/>
      <c r="Z496" s="31"/>
      <c r="AA496" s="31"/>
      <c r="AB496" s="31"/>
    </row>
    <row r="497" customHeight="1" spans="2:28">
      <c r="B497" s="6" t="str">
        <f t="shared" si="7"/>
        <v>43115-DT1EJ20250101-A-JIEU8017930-PARTS</v>
      </c>
      <c r="C497" t="s">
        <v>80</v>
      </c>
      <c r="D497" t="s">
        <v>81</v>
      </c>
      <c r="E497" t="s">
        <v>393</v>
      </c>
      <c r="F497" t="s">
        <v>394</v>
      </c>
      <c r="G497" s="1" t="s">
        <v>84</v>
      </c>
      <c r="I497" s="1" t="s">
        <v>85</v>
      </c>
      <c r="J497" s="1" t="s">
        <v>408</v>
      </c>
      <c r="K497" s="1" t="s">
        <v>313</v>
      </c>
      <c r="L497">
        <v>8544300007</v>
      </c>
      <c r="M497" s="2" t="s">
        <v>314</v>
      </c>
      <c r="N497" s="3" t="s">
        <v>315</v>
      </c>
      <c r="O497" s="1">
        <v>6</v>
      </c>
      <c r="P497" s="4">
        <v>344.6</v>
      </c>
      <c r="Q497" s="4">
        <v>165.72</v>
      </c>
      <c r="R497" s="4">
        <v>4.74</v>
      </c>
      <c r="S497" s="4">
        <v>373.01</v>
      </c>
      <c r="T497" s="5">
        <v>1.363</v>
      </c>
      <c r="U497" s="5">
        <v>8.178</v>
      </c>
      <c r="V497" s="5">
        <v>1.87</v>
      </c>
      <c r="W497" s="5">
        <v>11.22</v>
      </c>
      <c r="X497" s="4">
        <v>2238.06</v>
      </c>
    </row>
    <row r="498" customHeight="1" spans="2:28">
      <c r="B498" s="6" t="str">
        <f t="shared" si="7"/>
        <v>43115-DT1EJ20250101-A-JIEU8017930-PARTS</v>
      </c>
      <c r="C498" s="29" t="s">
        <v>80</v>
      </c>
      <c r="D498" s="30" t="s">
        <v>81</v>
      </c>
      <c r="E498" s="30" t="s">
        <v>393</v>
      </c>
      <c r="F498" s="30" t="s">
        <v>394</v>
      </c>
      <c r="G498" s="31" t="s">
        <v>84</v>
      </c>
      <c r="H498" s="31"/>
      <c r="I498" s="31" t="s">
        <v>85</v>
      </c>
      <c r="J498" s="31" t="s">
        <v>408</v>
      </c>
      <c r="K498" s="31" t="s">
        <v>313</v>
      </c>
      <c r="L498" s="31">
        <v>8544300007</v>
      </c>
      <c r="M498" s="32" t="s">
        <v>314</v>
      </c>
      <c r="N498" s="33" t="s">
        <v>315</v>
      </c>
      <c r="O498" s="31">
        <v>6</v>
      </c>
      <c r="P498" s="34">
        <v>344.6</v>
      </c>
      <c r="Q498" s="34">
        <v>165.72</v>
      </c>
      <c r="R498" s="34">
        <v>4.74</v>
      </c>
      <c r="S498" s="34">
        <v>373.01</v>
      </c>
      <c r="T498" s="35">
        <v>1.363</v>
      </c>
      <c r="U498" s="35">
        <v>8.178</v>
      </c>
      <c r="V498" s="35">
        <v>1.87</v>
      </c>
      <c r="W498" s="35">
        <v>11.22</v>
      </c>
      <c r="X498" s="34">
        <v>2238.06</v>
      </c>
      <c r="Y498" s="31"/>
      <c r="Z498" s="31"/>
      <c r="AA498" s="31"/>
      <c r="AB498" s="31"/>
    </row>
    <row r="499" customHeight="1" spans="2:28">
      <c r="B499" s="6" t="str">
        <f t="shared" si="7"/>
        <v>43115-DT1EJ20250101-A-JIEU8017930-PARTS</v>
      </c>
      <c r="C499" s="29" t="s">
        <v>80</v>
      </c>
      <c r="D499" s="30" t="s">
        <v>81</v>
      </c>
      <c r="E499" s="30" t="s">
        <v>393</v>
      </c>
      <c r="F499" s="30" t="s">
        <v>394</v>
      </c>
      <c r="G499" s="31" t="s">
        <v>84</v>
      </c>
      <c r="H499" s="31"/>
      <c r="I499" s="31" t="s">
        <v>85</v>
      </c>
      <c r="J499" s="31" t="s">
        <v>408</v>
      </c>
      <c r="K499" s="31" t="s">
        <v>313</v>
      </c>
      <c r="L499" s="31">
        <v>8544300007</v>
      </c>
      <c r="M499" s="32" t="s">
        <v>314</v>
      </c>
      <c r="N499" s="33" t="s">
        <v>315</v>
      </c>
      <c r="O499" s="31">
        <v>6</v>
      </c>
      <c r="P499" s="34">
        <v>344.6</v>
      </c>
      <c r="Q499" s="34">
        <v>165.72</v>
      </c>
      <c r="R499" s="34">
        <v>4.74</v>
      </c>
      <c r="S499" s="34">
        <v>373.01</v>
      </c>
      <c r="T499" s="35">
        <v>1.363</v>
      </c>
      <c r="U499" s="35">
        <v>8.178</v>
      </c>
      <c r="V499" s="35">
        <v>1.87</v>
      </c>
      <c r="W499" s="35">
        <v>11.22</v>
      </c>
      <c r="X499" s="34">
        <v>2238.06</v>
      </c>
      <c r="Y499" s="31"/>
      <c r="Z499" s="31"/>
      <c r="AA499" s="31"/>
      <c r="AB499" s="31"/>
    </row>
    <row r="500" customHeight="1" spans="2:28">
      <c r="B500" s="6" t="str">
        <f t="shared" si="7"/>
        <v>43115-DT1EJ20250101-A-JIEU8017930-PARTS</v>
      </c>
      <c r="C500" s="29" t="s">
        <v>80</v>
      </c>
      <c r="D500" s="30" t="s">
        <v>81</v>
      </c>
      <c r="E500" s="30" t="s">
        <v>393</v>
      </c>
      <c r="F500" s="30" t="s">
        <v>394</v>
      </c>
      <c r="G500" s="31" t="s">
        <v>84</v>
      </c>
      <c r="H500" s="31"/>
      <c r="I500" s="31" t="s">
        <v>85</v>
      </c>
      <c r="J500" s="31" t="s">
        <v>408</v>
      </c>
      <c r="K500" s="31" t="s">
        <v>313</v>
      </c>
      <c r="L500" s="31">
        <v>8544300007</v>
      </c>
      <c r="M500" s="32" t="s">
        <v>314</v>
      </c>
      <c r="N500" s="33" t="s">
        <v>315</v>
      </c>
      <c r="O500" s="31">
        <v>6</v>
      </c>
      <c r="P500" s="34">
        <v>344.6</v>
      </c>
      <c r="Q500" s="34">
        <v>165.72</v>
      </c>
      <c r="R500" s="34">
        <v>4.74</v>
      </c>
      <c r="S500" s="34">
        <v>373.01</v>
      </c>
      <c r="T500" s="35">
        <v>1.363</v>
      </c>
      <c r="U500" s="35">
        <v>8.178</v>
      </c>
      <c r="V500" s="35">
        <v>1.87</v>
      </c>
      <c r="W500" s="35">
        <v>11.22</v>
      </c>
      <c r="X500" s="34">
        <v>2238.06</v>
      </c>
      <c r="Y500" s="31"/>
      <c r="Z500" s="31"/>
      <c r="AA500" s="31"/>
      <c r="AB500" s="31"/>
    </row>
    <row r="501" customHeight="1" spans="2:28">
      <c r="B501" s="6" t="str">
        <f t="shared" si="7"/>
        <v>43115-DT1EJ20250101-A-JIEU8017930-PARTS</v>
      </c>
      <c r="C501" s="29" t="s">
        <v>80</v>
      </c>
      <c r="D501" s="30" t="s">
        <v>81</v>
      </c>
      <c r="E501" s="30" t="s">
        <v>393</v>
      </c>
      <c r="F501" s="30" t="s">
        <v>394</v>
      </c>
      <c r="G501" s="31" t="s">
        <v>84</v>
      </c>
      <c r="H501" s="31"/>
      <c r="I501" s="31" t="s">
        <v>85</v>
      </c>
      <c r="J501" s="31" t="s">
        <v>408</v>
      </c>
      <c r="K501" s="31" t="s">
        <v>313</v>
      </c>
      <c r="L501" s="31">
        <v>8544300007</v>
      </c>
      <c r="M501" s="32" t="s">
        <v>314</v>
      </c>
      <c r="N501" s="33" t="s">
        <v>315</v>
      </c>
      <c r="O501" s="31">
        <v>6</v>
      </c>
      <c r="P501" s="34">
        <v>344.6</v>
      </c>
      <c r="Q501" s="34">
        <v>165.72</v>
      </c>
      <c r="R501" s="34">
        <v>4.74</v>
      </c>
      <c r="S501" s="34">
        <v>373.01</v>
      </c>
      <c r="T501" s="35">
        <v>1.363</v>
      </c>
      <c r="U501" s="35">
        <v>8.178</v>
      </c>
      <c r="V501" s="35">
        <v>1.87</v>
      </c>
      <c r="W501" s="35">
        <v>11.22</v>
      </c>
      <c r="X501" s="34">
        <v>2238.06</v>
      </c>
      <c r="Y501" s="31"/>
      <c r="Z501" s="31"/>
      <c r="AA501" s="31"/>
      <c r="AB501" s="31"/>
    </row>
    <row r="502" customHeight="1" spans="2:28">
      <c r="B502" s="6" t="str">
        <f t="shared" si="7"/>
        <v>43115-DT1EJ20250101-A-JIEU8017930-PARTS</v>
      </c>
      <c r="C502" s="29" t="s">
        <v>80</v>
      </c>
      <c r="D502" s="30" t="s">
        <v>81</v>
      </c>
      <c r="E502" s="30" t="s">
        <v>393</v>
      </c>
      <c r="F502" s="30" t="s">
        <v>394</v>
      </c>
      <c r="G502" s="31" t="s">
        <v>84</v>
      </c>
      <c r="H502" s="31"/>
      <c r="I502" s="31" t="s">
        <v>85</v>
      </c>
      <c r="J502" s="31" t="s">
        <v>408</v>
      </c>
      <c r="K502" s="31" t="s">
        <v>313</v>
      </c>
      <c r="L502" s="31">
        <v>8544300007</v>
      </c>
      <c r="M502" s="32" t="s">
        <v>314</v>
      </c>
      <c r="N502" s="33" t="s">
        <v>315</v>
      </c>
      <c r="O502" s="31">
        <v>6</v>
      </c>
      <c r="P502" s="34">
        <v>344.6</v>
      </c>
      <c r="Q502" s="34">
        <v>165.72</v>
      </c>
      <c r="R502" s="34">
        <v>4.74</v>
      </c>
      <c r="S502" s="34">
        <v>373.01</v>
      </c>
      <c r="T502" s="35">
        <v>1.363</v>
      </c>
      <c r="U502" s="35">
        <v>8.178</v>
      </c>
      <c r="V502" s="35">
        <v>1.87</v>
      </c>
      <c r="W502" s="35">
        <v>11.22</v>
      </c>
      <c r="X502" s="34">
        <v>2238.06</v>
      </c>
      <c r="Y502" s="31"/>
      <c r="Z502" s="31"/>
      <c r="AA502" s="31"/>
      <c r="AB502" s="31"/>
    </row>
    <row r="503" customHeight="1" spans="2:28">
      <c r="B503" s="6" t="str">
        <f t="shared" si="7"/>
        <v>43115-DT1EJ20250101-A-JIEU8017930-PARTS</v>
      </c>
      <c r="C503" s="29" t="s">
        <v>80</v>
      </c>
      <c r="D503" s="30" t="s">
        <v>81</v>
      </c>
      <c r="E503" s="30" t="s">
        <v>393</v>
      </c>
      <c r="F503" s="30" t="s">
        <v>394</v>
      </c>
      <c r="G503" s="31" t="s">
        <v>84</v>
      </c>
      <c r="H503" s="31"/>
      <c r="I503" s="31" t="s">
        <v>85</v>
      </c>
      <c r="J503" s="31" t="s">
        <v>408</v>
      </c>
      <c r="K503" s="31" t="s">
        <v>313</v>
      </c>
      <c r="L503" s="31">
        <v>8544300007</v>
      </c>
      <c r="M503" s="32" t="s">
        <v>314</v>
      </c>
      <c r="N503" s="33" t="s">
        <v>315</v>
      </c>
      <c r="O503" s="31">
        <v>6</v>
      </c>
      <c r="P503" s="34">
        <v>344.6</v>
      </c>
      <c r="Q503" s="34">
        <v>165.72</v>
      </c>
      <c r="R503" s="34">
        <v>4.74</v>
      </c>
      <c r="S503" s="34">
        <v>373.01</v>
      </c>
      <c r="T503" s="35">
        <v>1.363</v>
      </c>
      <c r="U503" s="35">
        <v>8.178</v>
      </c>
      <c r="V503" s="35">
        <v>1.87</v>
      </c>
      <c r="W503" s="35">
        <v>11.22</v>
      </c>
      <c r="X503" s="34">
        <v>2238.06</v>
      </c>
      <c r="Y503" s="31"/>
      <c r="Z503" s="31"/>
      <c r="AA503" s="31"/>
      <c r="AB503" s="31"/>
    </row>
    <row r="504" customHeight="1" spans="2:28">
      <c r="B504" s="6" t="str">
        <f t="shared" si="7"/>
        <v>43115-DT1EJ20250101-A-JIEU8017930-PARTS</v>
      </c>
      <c r="C504" s="29" t="s">
        <v>80</v>
      </c>
      <c r="D504" s="30" t="s">
        <v>81</v>
      </c>
      <c r="E504" s="30" t="s">
        <v>393</v>
      </c>
      <c r="F504" s="30" t="s">
        <v>394</v>
      </c>
      <c r="G504" s="31" t="s">
        <v>84</v>
      </c>
      <c r="H504" s="31"/>
      <c r="I504" s="31" t="s">
        <v>85</v>
      </c>
      <c r="J504" s="31" t="s">
        <v>408</v>
      </c>
      <c r="K504" s="31" t="s">
        <v>313</v>
      </c>
      <c r="L504" s="31">
        <v>8544300007</v>
      </c>
      <c r="M504" s="32" t="s">
        <v>314</v>
      </c>
      <c r="N504" s="33" t="s">
        <v>315</v>
      </c>
      <c r="O504" s="31">
        <v>6</v>
      </c>
      <c r="P504" s="34">
        <v>344.6</v>
      </c>
      <c r="Q504" s="34">
        <v>165.72</v>
      </c>
      <c r="R504" s="34">
        <v>4.74</v>
      </c>
      <c r="S504" s="34">
        <v>373.01</v>
      </c>
      <c r="T504" s="35">
        <v>1.363</v>
      </c>
      <c r="U504" s="35">
        <v>8.178</v>
      </c>
      <c r="V504" s="35">
        <v>1.87</v>
      </c>
      <c r="W504" s="35">
        <v>11.22</v>
      </c>
      <c r="X504" s="34">
        <v>2238.06</v>
      </c>
      <c r="Y504" s="31"/>
      <c r="Z504" s="31"/>
      <c r="AA504" s="31"/>
      <c r="AB504" s="31"/>
    </row>
    <row r="505" customHeight="1" spans="2:28">
      <c r="B505" s="6" t="str">
        <f t="shared" si="7"/>
        <v>43115-DT1EJ20250101-A-JIEU8017930-PARTS</v>
      </c>
      <c r="C505" s="29" t="s">
        <v>80</v>
      </c>
      <c r="D505" s="30" t="s">
        <v>81</v>
      </c>
      <c r="E505" s="30" t="s">
        <v>393</v>
      </c>
      <c r="F505" s="30" t="s">
        <v>394</v>
      </c>
      <c r="G505" s="31" t="s">
        <v>84</v>
      </c>
      <c r="H505" s="31"/>
      <c r="I505" s="31" t="s">
        <v>85</v>
      </c>
      <c r="J505" s="31" t="s">
        <v>408</v>
      </c>
      <c r="K505" s="31" t="s">
        <v>313</v>
      </c>
      <c r="L505" s="31">
        <v>8544300007</v>
      </c>
      <c r="M505" s="32" t="s">
        <v>314</v>
      </c>
      <c r="N505" s="33" t="s">
        <v>315</v>
      </c>
      <c r="O505" s="31">
        <v>6</v>
      </c>
      <c r="P505" s="34">
        <v>344.6</v>
      </c>
      <c r="Q505" s="34">
        <v>165.72</v>
      </c>
      <c r="R505" s="34">
        <v>4.74</v>
      </c>
      <c r="S505" s="34">
        <v>373.01</v>
      </c>
      <c r="T505" s="35">
        <v>1.363</v>
      </c>
      <c r="U505" s="35">
        <v>8.178</v>
      </c>
      <c r="V505" s="35">
        <v>1.87</v>
      </c>
      <c r="W505" s="35">
        <v>11.22</v>
      </c>
      <c r="X505" s="34">
        <v>2238.06</v>
      </c>
      <c r="Y505" s="31"/>
      <c r="Z505" s="31"/>
      <c r="AA505" s="31"/>
      <c r="AB505" s="31"/>
    </row>
    <row r="506" customHeight="1" spans="2:28">
      <c r="B506" s="6" t="str">
        <f t="shared" si="7"/>
        <v>43115-DT1EJ20250101-A-JIEU8017930-PARTS</v>
      </c>
      <c r="C506" s="29" t="s">
        <v>80</v>
      </c>
      <c r="D506" s="30" t="s">
        <v>81</v>
      </c>
      <c r="E506" s="30" t="s">
        <v>393</v>
      </c>
      <c r="F506" s="30" t="s">
        <v>394</v>
      </c>
      <c r="G506" s="31" t="s">
        <v>84</v>
      </c>
      <c r="H506" s="31"/>
      <c r="I506" s="31" t="s">
        <v>85</v>
      </c>
      <c r="J506" s="31" t="s">
        <v>408</v>
      </c>
      <c r="K506" s="31" t="s">
        <v>313</v>
      </c>
      <c r="L506" s="31">
        <v>8544300007</v>
      </c>
      <c r="M506" s="32" t="s">
        <v>314</v>
      </c>
      <c r="N506" s="33" t="s">
        <v>315</v>
      </c>
      <c r="O506" s="31">
        <v>6</v>
      </c>
      <c r="P506" s="34">
        <v>344.6</v>
      </c>
      <c r="Q506" s="34">
        <v>165.72</v>
      </c>
      <c r="R506" s="34">
        <v>4.74</v>
      </c>
      <c r="S506" s="34">
        <v>373.01</v>
      </c>
      <c r="T506" s="35">
        <v>1.363</v>
      </c>
      <c r="U506" s="35">
        <v>8.178</v>
      </c>
      <c r="V506" s="35">
        <v>1.87</v>
      </c>
      <c r="W506" s="35">
        <v>11.22</v>
      </c>
      <c r="X506" s="34">
        <v>2238.06</v>
      </c>
      <c r="Y506" s="31"/>
      <c r="Z506" s="31"/>
      <c r="AA506" s="31"/>
      <c r="AB506" s="31"/>
    </row>
    <row r="507" customHeight="1" spans="2:28">
      <c r="B507" s="6" t="str">
        <f t="shared" si="7"/>
        <v>43115-DT1EJ20250101-A-JIEU8017930-PARTS</v>
      </c>
      <c r="C507" s="29" t="s">
        <v>80</v>
      </c>
      <c r="D507" s="30" t="s">
        <v>81</v>
      </c>
      <c r="E507" s="30" t="s">
        <v>393</v>
      </c>
      <c r="F507" s="30" t="s">
        <v>394</v>
      </c>
      <c r="G507" s="31" t="s">
        <v>84</v>
      </c>
      <c r="H507" s="31"/>
      <c r="I507" s="31" t="s">
        <v>85</v>
      </c>
      <c r="J507" s="31" t="s">
        <v>408</v>
      </c>
      <c r="K507" s="31" t="s">
        <v>313</v>
      </c>
      <c r="L507" s="31">
        <v>8544300007</v>
      </c>
      <c r="M507" s="32" t="s">
        <v>314</v>
      </c>
      <c r="N507" s="33" t="s">
        <v>315</v>
      </c>
      <c r="O507" s="31">
        <v>6</v>
      </c>
      <c r="P507" s="34">
        <v>344.6</v>
      </c>
      <c r="Q507" s="34">
        <v>165.72</v>
      </c>
      <c r="R507" s="34">
        <v>4.74</v>
      </c>
      <c r="S507" s="34">
        <v>373.01</v>
      </c>
      <c r="T507" s="35">
        <v>1.363</v>
      </c>
      <c r="U507" s="35">
        <v>8.178</v>
      </c>
      <c r="V507" s="35">
        <v>1.87</v>
      </c>
      <c r="W507" s="35">
        <v>11.22</v>
      </c>
      <c r="X507" s="34">
        <v>2238.06</v>
      </c>
      <c r="Y507" s="31"/>
      <c r="Z507" s="31"/>
      <c r="AA507" s="31"/>
      <c r="AB507" s="31"/>
    </row>
    <row r="508" customHeight="1" spans="2:28">
      <c r="B508" s="6" t="str">
        <f t="shared" si="7"/>
        <v>43115-DT1EJ20250101-A-JIEU8017930-PARTS</v>
      </c>
      <c r="C508" s="29" t="s">
        <v>80</v>
      </c>
      <c r="D508" s="30" t="s">
        <v>81</v>
      </c>
      <c r="E508" s="30" t="s">
        <v>393</v>
      </c>
      <c r="F508" s="30" t="s">
        <v>394</v>
      </c>
      <c r="G508" s="31" t="s">
        <v>84</v>
      </c>
      <c r="H508" s="31"/>
      <c r="I508" s="31" t="s">
        <v>85</v>
      </c>
      <c r="J508" s="31" t="s">
        <v>408</v>
      </c>
      <c r="K508" s="31" t="s">
        <v>313</v>
      </c>
      <c r="L508" s="31">
        <v>8544300007</v>
      </c>
      <c r="M508" s="32" t="s">
        <v>314</v>
      </c>
      <c r="N508" s="33" t="s">
        <v>315</v>
      </c>
      <c r="O508" s="31">
        <v>6</v>
      </c>
      <c r="P508" s="34">
        <v>344.6</v>
      </c>
      <c r="Q508" s="34">
        <v>165.72</v>
      </c>
      <c r="R508" s="34">
        <v>4.74</v>
      </c>
      <c r="S508" s="34">
        <v>373.01</v>
      </c>
      <c r="T508" s="35">
        <v>1.363</v>
      </c>
      <c r="U508" s="35">
        <v>8.178</v>
      </c>
      <c r="V508" s="35">
        <v>1.87</v>
      </c>
      <c r="W508" s="35">
        <v>11.22</v>
      </c>
      <c r="X508" s="34">
        <v>2238.06</v>
      </c>
      <c r="Y508" s="31"/>
      <c r="Z508" s="31"/>
      <c r="AA508" s="31"/>
      <c r="AB508" s="31"/>
    </row>
    <row r="509" customHeight="1" spans="2:28">
      <c r="B509" s="6" t="str">
        <f t="shared" si="7"/>
        <v>43115-DT1EJ20250101-A-JIEU8017930-PARTS</v>
      </c>
      <c r="C509" s="29" t="s">
        <v>80</v>
      </c>
      <c r="D509" s="30" t="s">
        <v>81</v>
      </c>
      <c r="E509" s="30" t="s">
        <v>393</v>
      </c>
      <c r="F509" s="30" t="s">
        <v>394</v>
      </c>
      <c r="G509" s="31" t="s">
        <v>84</v>
      </c>
      <c r="H509" s="31"/>
      <c r="I509" s="31" t="s">
        <v>85</v>
      </c>
      <c r="J509" s="31" t="s">
        <v>415</v>
      </c>
      <c r="K509" s="31" t="s">
        <v>416</v>
      </c>
      <c r="L509" s="31">
        <v>8708809909</v>
      </c>
      <c r="M509" s="32" t="s">
        <v>417</v>
      </c>
      <c r="N509" s="33" t="s">
        <v>418</v>
      </c>
      <c r="O509" s="31">
        <v>20</v>
      </c>
      <c r="P509" s="34">
        <v>786.53</v>
      </c>
      <c r="Q509" s="34">
        <v>1260.8</v>
      </c>
      <c r="R509" s="34">
        <v>36.2</v>
      </c>
      <c r="S509" s="34">
        <v>851.38</v>
      </c>
      <c r="T509" s="35">
        <v>39.4</v>
      </c>
      <c r="U509" s="35">
        <v>788</v>
      </c>
      <c r="V509" s="35">
        <v>40.4</v>
      </c>
      <c r="W509" s="35">
        <v>808</v>
      </c>
      <c r="X509" s="34">
        <v>17027.6</v>
      </c>
      <c r="Y509" s="31">
        <v>2280</v>
      </c>
      <c r="Z509" s="31">
        <v>1180</v>
      </c>
      <c r="AA509" s="31">
        <v>825</v>
      </c>
      <c r="AB509" s="31">
        <v>2.22</v>
      </c>
    </row>
    <row r="510" customHeight="1" spans="2:28">
      <c r="B510" s="6" t="str">
        <f t="shared" si="7"/>
        <v>43115-DT1EJ20250101-A-JIEU8017930-PARTS</v>
      </c>
      <c r="C510" s="29" t="s">
        <v>80</v>
      </c>
      <c r="D510" s="30" t="s">
        <v>81</v>
      </c>
      <c r="E510" s="30" t="s">
        <v>393</v>
      </c>
      <c r="F510" s="30" t="s">
        <v>394</v>
      </c>
      <c r="G510" s="31" t="s">
        <v>84</v>
      </c>
      <c r="H510" s="31"/>
      <c r="I510" s="31" t="s">
        <v>85</v>
      </c>
      <c r="J510" s="31" t="s">
        <v>419</v>
      </c>
      <c r="K510" s="31" t="s">
        <v>416</v>
      </c>
      <c r="L510" s="31">
        <v>8708809909</v>
      </c>
      <c r="M510" s="32" t="s">
        <v>417</v>
      </c>
      <c r="N510" s="33" t="s">
        <v>418</v>
      </c>
      <c r="O510" s="31">
        <v>20</v>
      </c>
      <c r="P510" s="34">
        <v>786.53</v>
      </c>
      <c r="Q510" s="34">
        <v>1260.8</v>
      </c>
      <c r="R510" s="34">
        <v>36.2</v>
      </c>
      <c r="S510" s="34">
        <v>851.38</v>
      </c>
      <c r="T510" s="35">
        <v>39.4</v>
      </c>
      <c r="U510" s="35">
        <v>788</v>
      </c>
      <c r="V510" s="35">
        <v>40.4</v>
      </c>
      <c r="W510" s="35">
        <v>808</v>
      </c>
      <c r="X510" s="34">
        <v>17027.6</v>
      </c>
      <c r="Y510" s="31">
        <v>2280</v>
      </c>
      <c r="Z510" s="31">
        <v>1180</v>
      </c>
      <c r="AA510" s="31">
        <v>825</v>
      </c>
      <c r="AB510" s="31">
        <v>2.22</v>
      </c>
    </row>
    <row r="511" customHeight="1" spans="2:28">
      <c r="B511" s="6" t="str">
        <f t="shared" si="7"/>
        <v>43115-DT1EJ20250101-A-JIEU8017930-PARTS</v>
      </c>
      <c r="C511" s="29" t="s">
        <v>80</v>
      </c>
      <c r="D511" s="30" t="s">
        <v>81</v>
      </c>
      <c r="E511" s="30" t="s">
        <v>393</v>
      </c>
      <c r="F511" s="30" t="s">
        <v>394</v>
      </c>
      <c r="G511" s="31" t="s">
        <v>84</v>
      </c>
      <c r="H511" s="31"/>
      <c r="I511" s="31" t="s">
        <v>85</v>
      </c>
      <c r="J511" s="31" t="s">
        <v>420</v>
      </c>
      <c r="K511" s="31" t="s">
        <v>416</v>
      </c>
      <c r="L511" s="31">
        <v>8708809909</v>
      </c>
      <c r="M511" s="32" t="s">
        <v>417</v>
      </c>
      <c r="N511" s="33" t="s">
        <v>418</v>
      </c>
      <c r="O511" s="31">
        <v>20</v>
      </c>
      <c r="P511" s="34">
        <v>786.53</v>
      </c>
      <c r="Q511" s="34">
        <v>1260.8</v>
      </c>
      <c r="R511" s="34">
        <v>36.2</v>
      </c>
      <c r="S511" s="34">
        <v>851.38</v>
      </c>
      <c r="T511" s="35">
        <v>39.4</v>
      </c>
      <c r="U511" s="35">
        <v>788</v>
      </c>
      <c r="V511" s="35">
        <v>40.4</v>
      </c>
      <c r="W511" s="35">
        <v>808</v>
      </c>
      <c r="X511" s="34">
        <v>17027.6</v>
      </c>
      <c r="Y511" s="31">
        <v>2280</v>
      </c>
      <c r="Z511" s="31">
        <v>1180</v>
      </c>
      <c r="AA511" s="31">
        <v>825</v>
      </c>
      <c r="AB511" s="31">
        <v>2.22</v>
      </c>
    </row>
    <row r="512" customHeight="1" spans="2:28">
      <c r="B512" s="6" t="str">
        <f t="shared" si="7"/>
        <v>43115-DT1EJ20250101-A-JIEU8017930-PARTS</v>
      </c>
      <c r="C512" s="29" t="s">
        <v>80</v>
      </c>
      <c r="D512" s="30" t="s">
        <v>81</v>
      </c>
      <c r="E512" s="30" t="s">
        <v>393</v>
      </c>
      <c r="F512" s="30" t="s">
        <v>394</v>
      </c>
      <c r="G512" s="31" t="s">
        <v>84</v>
      </c>
      <c r="H512" s="31"/>
      <c r="I512" s="31" t="s">
        <v>85</v>
      </c>
      <c r="J512" s="31" t="s">
        <v>421</v>
      </c>
      <c r="K512" s="31" t="s">
        <v>416</v>
      </c>
      <c r="L512" s="31">
        <v>8708809909</v>
      </c>
      <c r="M512" s="32" t="s">
        <v>417</v>
      </c>
      <c r="N512" s="33" t="s">
        <v>418</v>
      </c>
      <c r="O512" s="31">
        <v>20</v>
      </c>
      <c r="P512" s="34">
        <v>786.53</v>
      </c>
      <c r="Q512" s="34">
        <v>1260.8</v>
      </c>
      <c r="R512" s="34">
        <v>36.2</v>
      </c>
      <c r="S512" s="34">
        <v>851.38</v>
      </c>
      <c r="T512" s="35">
        <v>39.4</v>
      </c>
      <c r="U512" s="35">
        <v>788</v>
      </c>
      <c r="V512" s="35">
        <v>40.4</v>
      </c>
      <c r="W512" s="35">
        <v>808</v>
      </c>
      <c r="X512" s="34">
        <v>17027.6</v>
      </c>
      <c r="Y512" s="31">
        <v>2280</v>
      </c>
      <c r="Z512" s="31">
        <v>1180</v>
      </c>
      <c r="AA512" s="31">
        <v>825</v>
      </c>
      <c r="AB512" s="31">
        <v>2.22</v>
      </c>
    </row>
    <row r="513" customHeight="1" spans="1:28">
      <c r="B513" s="6" t="str">
        <f t="shared" si="7"/>
        <v>43115-DT1EJ20250101-A-JIEU8017930-PARTS</v>
      </c>
      <c r="C513" s="29" t="s">
        <v>80</v>
      </c>
      <c r="D513" s="30" t="s">
        <v>81</v>
      </c>
      <c r="E513" s="30" t="s">
        <v>393</v>
      </c>
      <c r="F513" s="30" t="s">
        <v>394</v>
      </c>
      <c r="G513" s="31" t="s">
        <v>84</v>
      </c>
      <c r="H513" s="31"/>
      <c r="I513" s="31" t="s">
        <v>85</v>
      </c>
      <c r="J513" s="31" t="s">
        <v>422</v>
      </c>
      <c r="K513" s="31" t="s">
        <v>416</v>
      </c>
      <c r="L513" s="31">
        <v>8708809909</v>
      </c>
      <c r="M513" s="32" t="s">
        <v>417</v>
      </c>
      <c r="N513" s="33" t="s">
        <v>418</v>
      </c>
      <c r="O513" s="31">
        <v>20</v>
      </c>
      <c r="P513" s="34">
        <v>786.53</v>
      </c>
      <c r="Q513" s="34">
        <v>1260.8</v>
      </c>
      <c r="R513" s="34">
        <v>36.2</v>
      </c>
      <c r="S513" s="34">
        <v>851.38</v>
      </c>
      <c r="T513" s="35">
        <v>39.4</v>
      </c>
      <c r="U513" s="35">
        <v>788</v>
      </c>
      <c r="V513" s="35">
        <v>40.4</v>
      </c>
      <c r="W513" s="35">
        <v>808</v>
      </c>
      <c r="X513" s="34">
        <v>17027.6</v>
      </c>
      <c r="Y513" s="31">
        <v>2280</v>
      </c>
      <c r="Z513" s="31">
        <v>1180</v>
      </c>
      <c r="AA513" s="31">
        <v>825</v>
      </c>
      <c r="AB513" s="31">
        <v>2.22</v>
      </c>
    </row>
    <row r="514" customHeight="1" spans="1:28">
      <c r="B514" s="6" t="str">
        <f t="shared" ref="B514:B577" si="8">CONCATENATE(C514,"-",E514,"-",G514)</f>
        <v>43115-DT1EJ20250101-A-JIEU8017930-PARTS</v>
      </c>
      <c r="C514" t="s">
        <v>80</v>
      </c>
      <c r="D514" t="s">
        <v>81</v>
      </c>
      <c r="E514" t="s">
        <v>393</v>
      </c>
      <c r="F514" t="s">
        <v>394</v>
      </c>
      <c r="G514" s="1" t="s">
        <v>84</v>
      </c>
      <c r="I514" s="1" t="s">
        <v>85</v>
      </c>
      <c r="J514" s="1" t="s">
        <v>423</v>
      </c>
      <c r="K514" s="1" t="s">
        <v>416</v>
      </c>
      <c r="L514">
        <v>8708809909</v>
      </c>
      <c r="M514" s="2" t="s">
        <v>417</v>
      </c>
      <c r="N514" s="3" t="s">
        <v>418</v>
      </c>
      <c r="O514" s="1">
        <v>20</v>
      </c>
      <c r="P514" s="4">
        <v>786.53</v>
      </c>
      <c r="Q514" s="4">
        <v>1260.8</v>
      </c>
      <c r="R514" s="4">
        <v>36.2</v>
      </c>
      <c r="S514" s="4">
        <v>851.38</v>
      </c>
      <c r="T514" s="5">
        <v>39.4</v>
      </c>
      <c r="U514" s="5">
        <v>788</v>
      </c>
      <c r="V514" s="5">
        <v>40.4</v>
      </c>
      <c r="W514" s="5">
        <v>808</v>
      </c>
      <c r="X514" s="4">
        <v>17027.6</v>
      </c>
      <c r="Y514">
        <v>2280</v>
      </c>
      <c r="Z514">
        <v>1180</v>
      </c>
      <c r="AA514">
        <v>825</v>
      </c>
      <c r="AB514" s="1">
        <v>2.22</v>
      </c>
    </row>
    <row r="515" spans="1:28">
      <c r="B515" s="6" t="str">
        <f t="shared" si="8"/>
        <v>43115-DT1EJ20250101-A-JIEU8017930-PARTS</v>
      </c>
      <c r="C515" t="s">
        <v>80</v>
      </c>
      <c r="D515" t="s">
        <v>81</v>
      </c>
      <c r="E515" t="s">
        <v>393</v>
      </c>
      <c r="F515" t="s">
        <v>394</v>
      </c>
      <c r="G515" s="1" t="s">
        <v>84</v>
      </c>
      <c r="I515" s="1" t="s">
        <v>85</v>
      </c>
      <c r="J515" s="1" t="s">
        <v>424</v>
      </c>
      <c r="K515" s="1" t="s">
        <v>425</v>
      </c>
      <c r="L515">
        <v>8708809909</v>
      </c>
      <c r="M515" s="2" t="s">
        <v>426</v>
      </c>
      <c r="N515" s="3" t="s">
        <v>427</v>
      </c>
      <c r="O515" s="1">
        <v>20</v>
      </c>
      <c r="P515" s="4">
        <v>812.11</v>
      </c>
      <c r="Q515" s="4">
        <v>1301.8</v>
      </c>
      <c r="R515" s="4">
        <v>37.4</v>
      </c>
      <c r="S515" s="4">
        <v>879.07</v>
      </c>
      <c r="T515" s="5">
        <v>39.4</v>
      </c>
      <c r="U515" s="5">
        <v>788</v>
      </c>
      <c r="V515" s="5">
        <v>40.4</v>
      </c>
      <c r="W515" s="5">
        <v>808</v>
      </c>
      <c r="X515" s="4">
        <v>17581.4</v>
      </c>
      <c r="Y515">
        <v>2280</v>
      </c>
      <c r="Z515">
        <v>1180</v>
      </c>
      <c r="AA515">
        <v>825</v>
      </c>
      <c r="AB515" s="1">
        <v>2.22</v>
      </c>
    </row>
    <row r="516" customHeight="1" spans="1:28">
      <c r="B516" s="6" t="str">
        <f t="shared" si="8"/>
        <v>43115-DT1EJ20250101-A-JIEU8017930-PARTS</v>
      </c>
      <c r="C516" s="29" t="s">
        <v>80</v>
      </c>
      <c r="D516" s="30" t="s">
        <v>81</v>
      </c>
      <c r="E516" s="30" t="s">
        <v>393</v>
      </c>
      <c r="F516" s="30" t="s">
        <v>394</v>
      </c>
      <c r="G516" s="31" t="s">
        <v>84</v>
      </c>
      <c r="H516" s="31"/>
      <c r="I516" s="31" t="s">
        <v>85</v>
      </c>
      <c r="J516" s="31" t="s">
        <v>428</v>
      </c>
      <c r="K516" s="31" t="s">
        <v>425</v>
      </c>
      <c r="L516" s="31">
        <v>8708809909</v>
      </c>
      <c r="M516" s="32" t="s">
        <v>426</v>
      </c>
      <c r="N516" s="33" t="s">
        <v>427</v>
      </c>
      <c r="O516" s="31">
        <v>20</v>
      </c>
      <c r="P516" s="34">
        <v>812.11</v>
      </c>
      <c r="Q516" s="34">
        <v>1301.8</v>
      </c>
      <c r="R516" s="34">
        <v>37.4</v>
      </c>
      <c r="S516" s="34">
        <v>879.07</v>
      </c>
      <c r="T516" s="35">
        <v>39.4</v>
      </c>
      <c r="U516" s="35">
        <v>788</v>
      </c>
      <c r="V516" s="35">
        <v>40.4</v>
      </c>
      <c r="W516" s="35">
        <v>808</v>
      </c>
      <c r="X516" s="34">
        <v>17581.4</v>
      </c>
      <c r="Y516" s="31">
        <v>2280</v>
      </c>
      <c r="Z516" s="31">
        <v>1180</v>
      </c>
      <c r="AA516" s="31">
        <v>825</v>
      </c>
      <c r="AB516" s="31">
        <v>2.22</v>
      </c>
    </row>
    <row r="517" customHeight="1" spans="1:28">
      <c r="B517" s="6" t="str">
        <f t="shared" si="8"/>
        <v>43115-DT1EJ20250101-A-JIEU8017930-PARTS</v>
      </c>
      <c r="C517" s="29" t="s">
        <v>80</v>
      </c>
      <c r="D517" s="30" t="s">
        <v>81</v>
      </c>
      <c r="E517" s="30" t="s">
        <v>393</v>
      </c>
      <c r="F517" s="30" t="s">
        <v>394</v>
      </c>
      <c r="G517" s="31" t="s">
        <v>84</v>
      </c>
      <c r="H517" s="31"/>
      <c r="I517" s="31" t="s">
        <v>85</v>
      </c>
      <c r="J517" s="31" t="s">
        <v>429</v>
      </c>
      <c r="K517" s="31" t="s">
        <v>425</v>
      </c>
      <c r="L517" s="31">
        <v>8708809909</v>
      </c>
      <c r="M517" s="32" t="s">
        <v>426</v>
      </c>
      <c r="N517" s="33" t="s">
        <v>427</v>
      </c>
      <c r="O517" s="31">
        <v>20</v>
      </c>
      <c r="P517" s="34">
        <v>812.11</v>
      </c>
      <c r="Q517" s="34">
        <v>1301.8</v>
      </c>
      <c r="R517" s="34">
        <v>37.4</v>
      </c>
      <c r="S517" s="34">
        <v>879.07</v>
      </c>
      <c r="T517" s="35">
        <v>39.4</v>
      </c>
      <c r="U517" s="35">
        <v>788</v>
      </c>
      <c r="V517" s="35">
        <v>40.4</v>
      </c>
      <c r="W517" s="35">
        <v>808</v>
      </c>
      <c r="X517" s="34">
        <v>17581.4</v>
      </c>
      <c r="Y517" s="31">
        <v>2280</v>
      </c>
      <c r="Z517" s="31">
        <v>1180</v>
      </c>
      <c r="AA517" s="31">
        <v>825</v>
      </c>
      <c r="AB517" s="31">
        <v>2.22</v>
      </c>
    </row>
    <row r="518" customHeight="1" spans="1:28">
      <c r="B518" s="6" t="str">
        <f t="shared" si="8"/>
        <v>43115-DT1EJ20250101-A-JIEU8017930-PARTS</v>
      </c>
      <c r="C518" s="29" t="s">
        <v>80</v>
      </c>
      <c r="D518" s="30" t="s">
        <v>81</v>
      </c>
      <c r="E518" s="30" t="s">
        <v>393</v>
      </c>
      <c r="F518" s="30" t="s">
        <v>394</v>
      </c>
      <c r="G518" s="31" t="s">
        <v>84</v>
      </c>
      <c r="H518" s="31"/>
      <c r="I518" s="31" t="s">
        <v>85</v>
      </c>
      <c r="J518" s="31" t="s">
        <v>430</v>
      </c>
      <c r="K518" s="31" t="s">
        <v>431</v>
      </c>
      <c r="L518" s="31">
        <v>8407349908</v>
      </c>
      <c r="M518" s="32" t="s">
        <v>432</v>
      </c>
      <c r="N518" s="33" t="s">
        <v>433</v>
      </c>
      <c r="O518" s="31">
        <v>3</v>
      </c>
      <c r="P518" s="34">
        <v>12116.7</v>
      </c>
      <c r="Q518" s="34">
        <v>2913.63</v>
      </c>
      <c r="R518" s="34">
        <v>80.85</v>
      </c>
      <c r="S518" s="34">
        <v>13114.86</v>
      </c>
      <c r="T518" s="35">
        <v>128</v>
      </c>
      <c r="U518" s="35">
        <v>384</v>
      </c>
      <c r="V518" s="35">
        <v>138.33</v>
      </c>
      <c r="W518" s="35">
        <v>414.99</v>
      </c>
      <c r="X518" s="34">
        <v>39344.58</v>
      </c>
      <c r="Y518" s="31">
        <v>2280</v>
      </c>
      <c r="Z518" s="31">
        <v>685</v>
      </c>
      <c r="AA518" s="31">
        <v>825</v>
      </c>
      <c r="AB518" s="31">
        <v>1.29</v>
      </c>
    </row>
    <row r="519" customHeight="1" spans="1:28">
      <c r="B519" s="6" t="str">
        <f t="shared" si="8"/>
        <v>43115-DT1EJ20250101-A-JIEU8017930-PARTS</v>
      </c>
      <c r="C519" s="29" t="s">
        <v>80</v>
      </c>
      <c r="D519" s="30" t="s">
        <v>81</v>
      </c>
      <c r="E519" s="30" t="s">
        <v>393</v>
      </c>
      <c r="F519" s="30" t="s">
        <v>394</v>
      </c>
      <c r="G519" s="31" t="s">
        <v>84</v>
      </c>
      <c r="H519" s="31"/>
      <c r="I519" s="31" t="s">
        <v>85</v>
      </c>
      <c r="J519" s="31" t="s">
        <v>434</v>
      </c>
      <c r="K519" s="31" t="s">
        <v>431</v>
      </c>
      <c r="L519" s="31">
        <v>8407349908</v>
      </c>
      <c r="M519" s="32" t="s">
        <v>432</v>
      </c>
      <c r="N519" s="33" t="s">
        <v>433</v>
      </c>
      <c r="O519" s="31">
        <v>3</v>
      </c>
      <c r="P519" s="34">
        <v>12116.7</v>
      </c>
      <c r="Q519" s="34">
        <v>2913.63</v>
      </c>
      <c r="R519" s="34">
        <v>80.85</v>
      </c>
      <c r="S519" s="34">
        <v>13114.86</v>
      </c>
      <c r="T519" s="35">
        <v>128</v>
      </c>
      <c r="U519" s="35">
        <v>384</v>
      </c>
      <c r="V519" s="35">
        <v>138.33</v>
      </c>
      <c r="W519" s="35">
        <v>414.99</v>
      </c>
      <c r="X519" s="34">
        <v>39344.58</v>
      </c>
      <c r="Y519" s="31">
        <v>2280</v>
      </c>
      <c r="Z519" s="31">
        <v>685</v>
      </c>
      <c r="AA519" s="31">
        <v>825</v>
      </c>
      <c r="AB519" s="31">
        <v>1.29</v>
      </c>
    </row>
    <row r="520" customHeight="1" spans="1:28">
      <c r="B520" s="6" t="str">
        <f t="shared" si="8"/>
        <v>43115-DT1EJ20250101-A-JIEU8017930-PARTS</v>
      </c>
      <c r="C520" s="29" t="s">
        <v>80</v>
      </c>
      <c r="D520" s="30" t="s">
        <v>81</v>
      </c>
      <c r="E520" s="30" t="s">
        <v>393</v>
      </c>
      <c r="F520" s="30" t="s">
        <v>394</v>
      </c>
      <c r="G520" s="31" t="s">
        <v>84</v>
      </c>
      <c r="H520" s="31"/>
      <c r="I520" s="31" t="s">
        <v>85</v>
      </c>
      <c r="J520" s="31" t="s">
        <v>435</v>
      </c>
      <c r="K520" s="31" t="s">
        <v>431</v>
      </c>
      <c r="L520" s="31">
        <v>8407349908</v>
      </c>
      <c r="M520" s="32" t="s">
        <v>432</v>
      </c>
      <c r="N520" s="33" t="s">
        <v>433</v>
      </c>
      <c r="O520" s="31">
        <v>3</v>
      </c>
      <c r="P520" s="34">
        <v>12116.7</v>
      </c>
      <c r="Q520" s="34">
        <v>2913.63</v>
      </c>
      <c r="R520" s="34">
        <v>80.85</v>
      </c>
      <c r="S520" s="34">
        <v>13114.86</v>
      </c>
      <c r="T520" s="35">
        <v>128</v>
      </c>
      <c r="U520" s="35">
        <v>384</v>
      </c>
      <c r="V520" s="35">
        <v>138.33</v>
      </c>
      <c r="W520" s="35">
        <v>414.99</v>
      </c>
      <c r="X520" s="34">
        <v>39344.58</v>
      </c>
      <c r="Y520" s="31">
        <v>2280</v>
      </c>
      <c r="Z520" s="31">
        <v>685</v>
      </c>
      <c r="AA520" s="31">
        <v>825</v>
      </c>
      <c r="AB520" s="31">
        <v>1.29</v>
      </c>
    </row>
    <row r="521" customHeight="1" spans="1:28">
      <c r="B521" s="6" t="str">
        <f t="shared" si="8"/>
        <v>43115-DT1EJ20250101-A-JIEU8017930-PARTS</v>
      </c>
      <c r="C521" s="29" t="s">
        <v>80</v>
      </c>
      <c r="D521" s="30" t="s">
        <v>81</v>
      </c>
      <c r="E521" s="30" t="s">
        <v>393</v>
      </c>
      <c r="F521" s="30" t="s">
        <v>394</v>
      </c>
      <c r="G521" s="31" t="s">
        <v>84</v>
      </c>
      <c r="H521" s="31"/>
      <c r="I521" s="31" t="s">
        <v>85</v>
      </c>
      <c r="J521" s="31" t="s">
        <v>436</v>
      </c>
      <c r="K521" s="31" t="s">
        <v>431</v>
      </c>
      <c r="L521" s="31">
        <v>8407349908</v>
      </c>
      <c r="M521" s="32" t="s">
        <v>432</v>
      </c>
      <c r="N521" s="33" t="s">
        <v>433</v>
      </c>
      <c r="O521" s="31">
        <v>3</v>
      </c>
      <c r="P521" s="34">
        <v>12116.7</v>
      </c>
      <c r="Q521" s="34">
        <v>2913.63</v>
      </c>
      <c r="R521" s="34">
        <v>80.85</v>
      </c>
      <c r="S521" s="34">
        <v>13114.86</v>
      </c>
      <c r="T521" s="35">
        <v>128</v>
      </c>
      <c r="U521" s="35">
        <v>384</v>
      </c>
      <c r="V521" s="35">
        <v>138.33</v>
      </c>
      <c r="W521" s="35">
        <v>414.99</v>
      </c>
      <c r="X521" s="34">
        <v>39344.58</v>
      </c>
      <c r="Y521" s="31">
        <v>2280</v>
      </c>
      <c r="Z521" s="31">
        <v>685</v>
      </c>
      <c r="AA521" s="31">
        <v>825</v>
      </c>
      <c r="AB521" s="31">
        <v>1.29</v>
      </c>
    </row>
    <row r="522" customHeight="1" spans="1:28">
      <c r="B522" s="6" t="str">
        <f t="shared" si="8"/>
        <v>43115-DT1EJ20250101-A-JIEU8017930-PARTS</v>
      </c>
      <c r="C522" s="29" t="s">
        <v>80</v>
      </c>
      <c r="D522" s="30" t="s">
        <v>81</v>
      </c>
      <c r="E522" s="30" t="s">
        <v>393</v>
      </c>
      <c r="F522" s="30" t="s">
        <v>394</v>
      </c>
      <c r="G522" s="31" t="s">
        <v>84</v>
      </c>
      <c r="H522" s="31"/>
      <c r="I522" s="31" t="s">
        <v>85</v>
      </c>
      <c r="J522" s="31" t="s">
        <v>437</v>
      </c>
      <c r="K522" s="31" t="s">
        <v>431</v>
      </c>
      <c r="L522" s="31">
        <v>8407349908</v>
      </c>
      <c r="M522" s="32" t="s">
        <v>432</v>
      </c>
      <c r="N522" s="33" t="s">
        <v>433</v>
      </c>
      <c r="O522" s="31">
        <v>3</v>
      </c>
      <c r="P522" s="34">
        <v>12116.7</v>
      </c>
      <c r="Q522" s="34">
        <v>2913.63</v>
      </c>
      <c r="R522" s="34">
        <v>80.85</v>
      </c>
      <c r="S522" s="34">
        <v>13114.86</v>
      </c>
      <c r="T522" s="35">
        <v>128</v>
      </c>
      <c r="U522" s="35">
        <v>384</v>
      </c>
      <c r="V522" s="35">
        <v>138.33</v>
      </c>
      <c r="W522" s="35">
        <v>414.99</v>
      </c>
      <c r="X522" s="34">
        <v>39344.58</v>
      </c>
      <c r="Y522" s="31">
        <v>2280</v>
      </c>
      <c r="Z522" s="31">
        <v>685</v>
      </c>
      <c r="AA522" s="31">
        <v>825</v>
      </c>
      <c r="AB522" s="31">
        <v>1.29</v>
      </c>
    </row>
    <row r="523" customHeight="1" spans="1:28">
      <c r="B523" s="6" t="str">
        <f t="shared" si="8"/>
        <v>43115-DT1EJ20250101-A-JIEU8017930-PARTS</v>
      </c>
      <c r="C523" s="29" t="s">
        <v>80</v>
      </c>
      <c r="D523" s="30" t="s">
        <v>81</v>
      </c>
      <c r="E523" s="30" t="s">
        <v>393</v>
      </c>
      <c r="F523" s="30" t="s">
        <v>394</v>
      </c>
      <c r="G523" s="31" t="s">
        <v>84</v>
      </c>
      <c r="H523" s="31"/>
      <c r="I523" s="31" t="s">
        <v>85</v>
      </c>
      <c r="J523" s="31" t="s">
        <v>438</v>
      </c>
      <c r="K523" s="31" t="s">
        <v>431</v>
      </c>
      <c r="L523" s="31">
        <v>8407349908</v>
      </c>
      <c r="M523" s="32" t="s">
        <v>432</v>
      </c>
      <c r="N523" s="33" t="s">
        <v>433</v>
      </c>
      <c r="O523" s="31">
        <v>3</v>
      </c>
      <c r="P523" s="34">
        <v>12116.7</v>
      </c>
      <c r="Q523" s="34">
        <v>2913.63</v>
      </c>
      <c r="R523" s="34">
        <v>80.85</v>
      </c>
      <c r="S523" s="34">
        <v>13114.86</v>
      </c>
      <c r="T523" s="35">
        <v>128</v>
      </c>
      <c r="U523" s="35">
        <v>384</v>
      </c>
      <c r="V523" s="35">
        <v>138.33</v>
      </c>
      <c r="W523" s="35">
        <v>414.99</v>
      </c>
      <c r="X523" s="34">
        <v>39344.58</v>
      </c>
      <c r="Y523" s="31">
        <v>2280</v>
      </c>
      <c r="Z523" s="31">
        <v>685</v>
      </c>
      <c r="AA523" s="31">
        <v>825</v>
      </c>
      <c r="AB523" s="31">
        <v>1.29</v>
      </c>
    </row>
    <row r="524" customHeight="1" spans="1:28">
      <c r="B524" s="6" t="str">
        <f t="shared" si="8"/>
        <v>43115-DT1EJ20250101-A-JIEU8017930-PARTS</v>
      </c>
      <c r="C524" s="29" t="s">
        <v>80</v>
      </c>
      <c r="D524" s="30" t="s">
        <v>81</v>
      </c>
      <c r="E524" s="30" t="s">
        <v>393</v>
      </c>
      <c r="F524" s="30" t="s">
        <v>394</v>
      </c>
      <c r="G524" s="31" t="s">
        <v>84</v>
      </c>
      <c r="H524" s="31"/>
      <c r="I524" s="31" t="s">
        <v>85</v>
      </c>
      <c r="J524" s="31" t="s">
        <v>439</v>
      </c>
      <c r="K524" s="31" t="s">
        <v>431</v>
      </c>
      <c r="L524" s="31">
        <v>8407349908</v>
      </c>
      <c r="M524" s="32" t="s">
        <v>432</v>
      </c>
      <c r="N524" s="33" t="s">
        <v>433</v>
      </c>
      <c r="O524" s="31">
        <v>3</v>
      </c>
      <c r="P524" s="34">
        <v>12116.7</v>
      </c>
      <c r="Q524" s="34">
        <v>2913.63</v>
      </c>
      <c r="R524" s="34">
        <v>80.85</v>
      </c>
      <c r="S524" s="34">
        <v>13114.86</v>
      </c>
      <c r="T524" s="35">
        <v>128</v>
      </c>
      <c r="U524" s="35">
        <v>384</v>
      </c>
      <c r="V524" s="35">
        <v>138.33</v>
      </c>
      <c r="W524" s="35">
        <v>414.99</v>
      </c>
      <c r="X524" s="34">
        <v>39344.58</v>
      </c>
      <c r="Y524" s="31">
        <v>2280</v>
      </c>
      <c r="Z524" s="31">
        <v>685</v>
      </c>
      <c r="AA524" s="31">
        <v>825</v>
      </c>
      <c r="AB524" s="31">
        <v>1.29</v>
      </c>
    </row>
    <row r="525" customHeight="1" spans="1:28">
      <c r="B525" s="6" t="str">
        <f t="shared" si="8"/>
        <v>43115-DT1EJ20250101-A-JIEU8017930-PARTS</v>
      </c>
      <c r="C525" s="29" t="s">
        <v>80</v>
      </c>
      <c r="D525" s="30" t="s">
        <v>81</v>
      </c>
      <c r="E525" s="30" t="s">
        <v>393</v>
      </c>
      <c r="F525" s="30" t="s">
        <v>394</v>
      </c>
      <c r="G525" s="31" t="s">
        <v>84</v>
      </c>
      <c r="H525" s="31"/>
      <c r="I525" s="31" t="s">
        <v>85</v>
      </c>
      <c r="J525" s="31" t="s">
        <v>440</v>
      </c>
      <c r="K525" s="31" t="s">
        <v>431</v>
      </c>
      <c r="L525" s="31">
        <v>8407349908</v>
      </c>
      <c r="M525" s="32" t="s">
        <v>432</v>
      </c>
      <c r="N525" s="33" t="s">
        <v>433</v>
      </c>
      <c r="O525" s="31">
        <v>3</v>
      </c>
      <c r="P525" s="34">
        <v>12116.7</v>
      </c>
      <c r="Q525" s="34">
        <v>2913.63</v>
      </c>
      <c r="R525" s="34">
        <v>80.85</v>
      </c>
      <c r="S525" s="34">
        <v>13114.86</v>
      </c>
      <c r="T525" s="35">
        <v>128</v>
      </c>
      <c r="U525" s="35">
        <v>384</v>
      </c>
      <c r="V525" s="35">
        <v>138.33</v>
      </c>
      <c r="W525" s="35">
        <v>414.99</v>
      </c>
      <c r="X525" s="34">
        <v>39344.58</v>
      </c>
      <c r="Y525" s="31">
        <v>2280</v>
      </c>
      <c r="Z525" s="31">
        <v>685</v>
      </c>
      <c r="AA525" s="31">
        <v>825</v>
      </c>
      <c r="AB525" s="31">
        <v>1.29</v>
      </c>
    </row>
    <row r="526" customHeight="1" spans="1:28">
      <c r="B526" s="6" t="str">
        <f t="shared" si="8"/>
        <v>43115-DT1EJ20250101-A-JIEU8017930-PARTS</v>
      </c>
      <c r="C526" s="29" t="s">
        <v>80</v>
      </c>
      <c r="D526" s="30" t="s">
        <v>81</v>
      </c>
      <c r="E526" s="30" t="s">
        <v>393</v>
      </c>
      <c r="F526" s="30" t="s">
        <v>394</v>
      </c>
      <c r="G526" s="31" t="s">
        <v>84</v>
      </c>
      <c r="H526" s="31"/>
      <c r="I526" s="31" t="s">
        <v>85</v>
      </c>
      <c r="J526" s="31" t="s">
        <v>441</v>
      </c>
      <c r="K526" s="31" t="s">
        <v>431</v>
      </c>
      <c r="L526" s="31">
        <v>8407349908</v>
      </c>
      <c r="M526" s="32" t="s">
        <v>432</v>
      </c>
      <c r="N526" s="33" t="s">
        <v>433</v>
      </c>
      <c r="O526" s="31">
        <v>3</v>
      </c>
      <c r="P526" s="34">
        <v>12116.7</v>
      </c>
      <c r="Q526" s="34">
        <v>2913.63</v>
      </c>
      <c r="R526" s="34">
        <v>80.85</v>
      </c>
      <c r="S526" s="34">
        <v>13114.86</v>
      </c>
      <c r="T526" s="35">
        <v>128</v>
      </c>
      <c r="U526" s="35">
        <v>384</v>
      </c>
      <c r="V526" s="35">
        <v>138.33</v>
      </c>
      <c r="W526" s="35">
        <v>414.99</v>
      </c>
      <c r="X526" s="34">
        <v>39344.58</v>
      </c>
      <c r="Y526" s="31">
        <v>2280</v>
      </c>
      <c r="Z526" s="31">
        <v>685</v>
      </c>
      <c r="AA526" s="31">
        <v>825</v>
      </c>
      <c r="AB526" s="31">
        <v>1.29</v>
      </c>
    </row>
    <row r="527" customHeight="1" spans="1:28">
      <c r="B527" s="6" t="str">
        <f t="shared" si="8"/>
        <v>43115-DT1EJ20250101-A-JIEU8017930-PARTS</v>
      </c>
      <c r="C527" s="29" t="s">
        <v>80</v>
      </c>
      <c r="D527" s="30" t="s">
        <v>81</v>
      </c>
      <c r="E527" s="30" t="s">
        <v>393</v>
      </c>
      <c r="F527" s="30" t="s">
        <v>394</v>
      </c>
      <c r="G527" s="31" t="s">
        <v>84</v>
      </c>
      <c r="H527" s="31"/>
      <c r="I527" s="31" t="s">
        <v>85</v>
      </c>
      <c r="J527" s="31" t="s">
        <v>442</v>
      </c>
      <c r="K527" s="31" t="s">
        <v>431</v>
      </c>
      <c r="L527" s="31">
        <v>8407349908</v>
      </c>
      <c r="M527" s="32" t="s">
        <v>432</v>
      </c>
      <c r="N527" s="33" t="s">
        <v>433</v>
      </c>
      <c r="O527" s="31">
        <v>3</v>
      </c>
      <c r="P527" s="34">
        <v>12116.7</v>
      </c>
      <c r="Q527" s="34">
        <v>2913.63</v>
      </c>
      <c r="R527" s="34">
        <v>80.85</v>
      </c>
      <c r="S527" s="34">
        <v>13114.86</v>
      </c>
      <c r="T527" s="35">
        <v>128</v>
      </c>
      <c r="U527" s="35">
        <v>384</v>
      </c>
      <c r="V527" s="35">
        <v>138.33</v>
      </c>
      <c r="W527" s="35">
        <v>414.99</v>
      </c>
      <c r="X527" s="34">
        <v>39344.58</v>
      </c>
      <c r="Y527" s="31">
        <v>2280</v>
      </c>
      <c r="Z527" s="31">
        <v>685</v>
      </c>
      <c r="AA527" s="31">
        <v>825</v>
      </c>
      <c r="AB527" s="31">
        <v>1.29</v>
      </c>
    </row>
    <row r="528" customHeight="1" spans="1:28">
      <c r="A528" s="6" t="s">
        <v>443</v>
      </c>
      <c r="B528" s="6" t="str">
        <f t="shared" si="8"/>
        <v>43115-DT1EJ20250101-A-JIEU8017930-PARTS</v>
      </c>
      <c r="C528" s="29" t="s">
        <v>80</v>
      </c>
      <c r="D528" s="30" t="s">
        <v>81</v>
      </c>
      <c r="E528" s="30" t="s">
        <v>393</v>
      </c>
      <c r="F528" s="30" t="s">
        <v>394</v>
      </c>
      <c r="G528" s="31" t="s">
        <v>84</v>
      </c>
      <c r="H528" s="31"/>
      <c r="I528" s="31" t="s">
        <v>85</v>
      </c>
      <c r="J528" s="31" t="s">
        <v>444</v>
      </c>
      <c r="K528" s="31" t="s">
        <v>431</v>
      </c>
      <c r="L528" s="31">
        <v>8407349908</v>
      </c>
      <c r="M528" s="32" t="s">
        <v>432</v>
      </c>
      <c r="N528" s="33" t="s">
        <v>433</v>
      </c>
      <c r="O528" s="31">
        <v>3</v>
      </c>
      <c r="P528" s="34">
        <v>12116.7</v>
      </c>
      <c r="Q528" s="34">
        <v>2913.63</v>
      </c>
      <c r="R528" s="34">
        <v>80.85</v>
      </c>
      <c r="S528" s="34">
        <v>13114.86</v>
      </c>
      <c r="T528" s="35">
        <v>128</v>
      </c>
      <c r="U528" s="35">
        <v>384</v>
      </c>
      <c r="V528" s="35">
        <v>138.33</v>
      </c>
      <c r="W528" s="35">
        <v>414.99</v>
      </c>
      <c r="X528" s="34">
        <v>39344.58</v>
      </c>
      <c r="Y528" s="31">
        <v>2280</v>
      </c>
      <c r="Z528" s="31">
        <v>685</v>
      </c>
      <c r="AA528" s="31">
        <v>825</v>
      </c>
      <c r="AB528" s="31">
        <v>1.29</v>
      </c>
    </row>
    <row r="529" customHeight="1" spans="1:28">
      <c r="B529" s="6" t="str">
        <f t="shared" si="8"/>
        <v>43115-DT1EJ20250101-A-JIEU8017930-PARTS</v>
      </c>
      <c r="C529" s="29" t="s">
        <v>80</v>
      </c>
      <c r="D529" s="30" t="s">
        <v>81</v>
      </c>
      <c r="E529" s="30" t="s">
        <v>393</v>
      </c>
      <c r="F529" s="30" t="s">
        <v>394</v>
      </c>
      <c r="G529" s="31" t="s">
        <v>84</v>
      </c>
      <c r="H529" s="31"/>
      <c r="I529" s="31" t="s">
        <v>85</v>
      </c>
      <c r="J529" s="31" t="s">
        <v>445</v>
      </c>
      <c r="K529" s="31" t="s">
        <v>431</v>
      </c>
      <c r="L529" s="31">
        <v>8407349908</v>
      </c>
      <c r="M529" s="32" t="s">
        <v>432</v>
      </c>
      <c r="N529" s="33" t="s">
        <v>433</v>
      </c>
      <c r="O529" s="31">
        <v>3</v>
      </c>
      <c r="P529" s="34">
        <v>12116.7</v>
      </c>
      <c r="Q529" s="34">
        <v>2913.63</v>
      </c>
      <c r="R529" s="34">
        <v>80.85</v>
      </c>
      <c r="S529" s="34">
        <v>13114.86</v>
      </c>
      <c r="T529" s="35">
        <v>128</v>
      </c>
      <c r="U529" s="35">
        <v>384</v>
      </c>
      <c r="V529" s="35">
        <v>138.33</v>
      </c>
      <c r="W529" s="35">
        <v>414.99</v>
      </c>
      <c r="X529" s="34">
        <v>39344.58</v>
      </c>
      <c r="Y529" s="31">
        <v>2280</v>
      </c>
      <c r="Z529" s="31">
        <v>685</v>
      </c>
      <c r="AA529" s="31">
        <v>825</v>
      </c>
      <c r="AB529" s="31">
        <v>1.29</v>
      </c>
    </row>
    <row r="530" customHeight="1" spans="1:28">
      <c r="A530" s="6" t="s">
        <v>446</v>
      </c>
      <c r="B530" s="6" t="str">
        <f t="shared" si="8"/>
        <v>43115-DT1EJ20250101-A-JIEU8017930-PARTS</v>
      </c>
      <c r="C530" s="29" t="s">
        <v>80</v>
      </c>
      <c r="D530" s="30" t="s">
        <v>81</v>
      </c>
      <c r="E530" s="30" t="s">
        <v>393</v>
      </c>
      <c r="F530" s="30" t="s">
        <v>394</v>
      </c>
      <c r="G530" s="31" t="s">
        <v>84</v>
      </c>
      <c r="H530" s="31"/>
      <c r="I530" s="31" t="s">
        <v>85</v>
      </c>
      <c r="J530" s="31" t="s">
        <v>447</v>
      </c>
      <c r="K530" s="31" t="s">
        <v>431</v>
      </c>
      <c r="L530" s="31">
        <v>8407349908</v>
      </c>
      <c r="M530" s="32" t="s">
        <v>432</v>
      </c>
      <c r="N530" s="33" t="s">
        <v>433</v>
      </c>
      <c r="O530" s="31">
        <v>3</v>
      </c>
      <c r="P530" s="34">
        <v>12116.7</v>
      </c>
      <c r="Q530" s="34">
        <v>2913.63</v>
      </c>
      <c r="R530" s="34">
        <v>80.85</v>
      </c>
      <c r="S530" s="34">
        <v>13114.86</v>
      </c>
      <c r="T530" s="35">
        <v>128</v>
      </c>
      <c r="U530" s="35">
        <v>384</v>
      </c>
      <c r="V530" s="35">
        <v>138.33</v>
      </c>
      <c r="W530" s="35">
        <v>414.99</v>
      </c>
      <c r="X530" s="34">
        <v>39344.58</v>
      </c>
      <c r="Y530" s="31">
        <v>2280</v>
      </c>
      <c r="Z530" s="31">
        <v>685</v>
      </c>
      <c r="AA530" s="31">
        <v>825</v>
      </c>
      <c r="AB530" s="31">
        <v>1.29</v>
      </c>
    </row>
    <row r="531" customHeight="1" spans="1:28">
      <c r="B531" s="6" t="str">
        <f t="shared" si="8"/>
        <v>43115-DT1EJ20250101-A-JIEU8017930-PARTS</v>
      </c>
      <c r="C531" s="29" t="s">
        <v>80</v>
      </c>
      <c r="D531" s="30" t="s">
        <v>81</v>
      </c>
      <c r="E531" s="30" t="s">
        <v>393</v>
      </c>
      <c r="F531" s="30" t="s">
        <v>394</v>
      </c>
      <c r="G531" s="31" t="s">
        <v>84</v>
      </c>
      <c r="H531" s="31"/>
      <c r="I531" s="31" t="s">
        <v>85</v>
      </c>
      <c r="J531" s="31" t="s">
        <v>448</v>
      </c>
      <c r="K531" s="31" t="s">
        <v>431</v>
      </c>
      <c r="L531" s="31">
        <v>8407349908</v>
      </c>
      <c r="M531" s="32" t="s">
        <v>432</v>
      </c>
      <c r="N531" s="33" t="s">
        <v>433</v>
      </c>
      <c r="O531" s="31">
        <v>3</v>
      </c>
      <c r="P531" s="34">
        <v>12116.7</v>
      </c>
      <c r="Q531" s="34">
        <v>2913.63</v>
      </c>
      <c r="R531" s="34">
        <v>80.85</v>
      </c>
      <c r="S531" s="34">
        <v>13114.86</v>
      </c>
      <c r="T531" s="35">
        <v>128</v>
      </c>
      <c r="U531" s="35">
        <v>384</v>
      </c>
      <c r="V531" s="35">
        <v>138.33</v>
      </c>
      <c r="W531" s="35">
        <v>414.99</v>
      </c>
      <c r="X531" s="34">
        <v>39344.58</v>
      </c>
      <c r="Y531" s="31">
        <v>2280</v>
      </c>
      <c r="Z531" s="31">
        <v>685</v>
      </c>
      <c r="AA531" s="31">
        <v>825</v>
      </c>
      <c r="AB531" s="31">
        <v>1.29</v>
      </c>
    </row>
    <row r="532" customHeight="1" spans="1:28">
      <c r="B532" s="6" t="str">
        <f t="shared" si="8"/>
        <v>43115-DT1EJ20250101-A-JIEU8017930-PARTS</v>
      </c>
      <c r="C532" s="29" t="s">
        <v>80</v>
      </c>
      <c r="D532" s="30" t="s">
        <v>81</v>
      </c>
      <c r="E532" s="30" t="s">
        <v>393</v>
      </c>
      <c r="F532" s="30" t="s">
        <v>394</v>
      </c>
      <c r="G532" s="31" t="s">
        <v>84</v>
      </c>
      <c r="H532" s="31"/>
      <c r="I532" s="31" t="s">
        <v>85</v>
      </c>
      <c r="J532" s="31" t="s">
        <v>449</v>
      </c>
      <c r="K532" s="31" t="s">
        <v>431</v>
      </c>
      <c r="L532" s="31">
        <v>8407349908</v>
      </c>
      <c r="M532" s="32" t="s">
        <v>432</v>
      </c>
      <c r="N532" s="33" t="s">
        <v>433</v>
      </c>
      <c r="O532" s="31">
        <v>3</v>
      </c>
      <c r="P532" s="34">
        <v>12116.7</v>
      </c>
      <c r="Q532" s="34">
        <v>2913.63</v>
      </c>
      <c r="R532" s="34">
        <v>80.85</v>
      </c>
      <c r="S532" s="34">
        <v>13114.86</v>
      </c>
      <c r="T532" s="35">
        <v>128</v>
      </c>
      <c r="U532" s="35">
        <v>384</v>
      </c>
      <c r="V532" s="35">
        <v>138.33</v>
      </c>
      <c r="W532" s="35">
        <v>414.99</v>
      </c>
      <c r="X532" s="34">
        <v>39344.58</v>
      </c>
      <c r="Y532" s="31">
        <v>2280</v>
      </c>
      <c r="Z532" s="31">
        <v>685</v>
      </c>
      <c r="AA532" s="31">
        <v>825</v>
      </c>
      <c r="AB532" s="31">
        <v>1.29</v>
      </c>
    </row>
    <row r="533" spans="1:28">
      <c r="B533" s="6" t="str">
        <f t="shared" si="8"/>
        <v>43115-DT1EJ20250101-A-JIEU8017930-PARTS</v>
      </c>
      <c r="C533" t="s">
        <v>80</v>
      </c>
      <c r="D533" t="s">
        <v>81</v>
      </c>
      <c r="E533" t="s">
        <v>393</v>
      </c>
      <c r="F533" t="s">
        <v>394</v>
      </c>
      <c r="G533" s="1" t="s">
        <v>84</v>
      </c>
      <c r="I533" s="1" t="s">
        <v>85</v>
      </c>
      <c r="J533" s="1" t="s">
        <v>450</v>
      </c>
      <c r="K533" s="1" t="s">
        <v>431</v>
      </c>
      <c r="L533">
        <v>8407349908</v>
      </c>
      <c r="M533" s="2" t="s">
        <v>432</v>
      </c>
      <c r="N533" s="3" t="s">
        <v>433</v>
      </c>
      <c r="O533" s="1">
        <v>3</v>
      </c>
      <c r="P533" s="4">
        <v>12116.7</v>
      </c>
      <c r="Q533" s="4">
        <v>2913.63</v>
      </c>
      <c r="R533" s="4">
        <v>80.85</v>
      </c>
      <c r="S533" s="4">
        <v>13114.86</v>
      </c>
      <c r="T533" s="5">
        <v>128</v>
      </c>
      <c r="U533" s="5">
        <v>384</v>
      </c>
      <c r="V533" s="5">
        <v>138.33</v>
      </c>
      <c r="W533" s="5">
        <v>414.99</v>
      </c>
      <c r="X533" s="4">
        <v>39344.58</v>
      </c>
      <c r="Y533">
        <v>2280</v>
      </c>
      <c r="Z533">
        <v>685</v>
      </c>
      <c r="AA533">
        <v>825</v>
      </c>
      <c r="AB533" s="1">
        <v>1.29</v>
      </c>
    </row>
    <row r="534" customHeight="1" spans="1:28">
      <c r="B534" s="6" t="str">
        <f t="shared" si="8"/>
        <v>43115-DT1EJ20250101-A-JIEU8017930-PARTS</v>
      </c>
      <c r="C534" s="29" t="s">
        <v>80</v>
      </c>
      <c r="D534" s="30" t="s">
        <v>81</v>
      </c>
      <c r="E534" s="30" t="s">
        <v>393</v>
      </c>
      <c r="F534" s="30" t="s">
        <v>394</v>
      </c>
      <c r="G534" s="31" t="s">
        <v>84</v>
      </c>
      <c r="H534" s="31"/>
      <c r="I534" s="31" t="s">
        <v>85</v>
      </c>
      <c r="J534" s="31" t="s">
        <v>451</v>
      </c>
      <c r="K534" s="31" t="s">
        <v>431</v>
      </c>
      <c r="L534" s="31">
        <v>8407349908</v>
      </c>
      <c r="M534" s="32" t="s">
        <v>432</v>
      </c>
      <c r="N534" s="33" t="s">
        <v>433</v>
      </c>
      <c r="O534" s="31">
        <v>3</v>
      </c>
      <c r="P534" s="34">
        <v>12116.7</v>
      </c>
      <c r="Q534" s="34">
        <v>2913.63</v>
      </c>
      <c r="R534" s="34">
        <v>80.85</v>
      </c>
      <c r="S534" s="34">
        <v>13114.86</v>
      </c>
      <c r="T534" s="35">
        <v>128</v>
      </c>
      <c r="U534" s="35">
        <v>384</v>
      </c>
      <c r="V534" s="35">
        <v>138.33</v>
      </c>
      <c r="W534" s="35">
        <v>414.99</v>
      </c>
      <c r="X534" s="34">
        <v>39344.58</v>
      </c>
      <c r="Y534" s="31">
        <v>2280</v>
      </c>
      <c r="Z534" s="31">
        <v>685</v>
      </c>
      <c r="AA534" s="31">
        <v>825</v>
      </c>
      <c r="AB534" s="31">
        <v>1.29</v>
      </c>
    </row>
    <row r="535" spans="1:28">
      <c r="B535" s="6" t="str">
        <f t="shared" si="8"/>
        <v>43115-DT1EJ20250101-A-JIEU8017930-PARTS</v>
      </c>
      <c r="C535" t="s">
        <v>80</v>
      </c>
      <c r="D535" t="s">
        <v>81</v>
      </c>
      <c r="E535" t="s">
        <v>393</v>
      </c>
      <c r="F535" t="s">
        <v>394</v>
      </c>
      <c r="G535" s="1" t="s">
        <v>84</v>
      </c>
      <c r="I535" s="1" t="s">
        <v>85</v>
      </c>
      <c r="J535" s="1" t="s">
        <v>452</v>
      </c>
      <c r="K535" s="1" t="s">
        <v>431</v>
      </c>
      <c r="L535">
        <v>8407349908</v>
      </c>
      <c r="M535" s="2" t="s">
        <v>432</v>
      </c>
      <c r="N535" s="3" t="s">
        <v>433</v>
      </c>
      <c r="O535" s="1">
        <v>3</v>
      </c>
      <c r="P535" s="4">
        <v>12116.7</v>
      </c>
      <c r="Q535" s="4">
        <v>2913.63</v>
      </c>
      <c r="R535" s="4">
        <v>80.85</v>
      </c>
      <c r="S535" s="4">
        <v>13114.86</v>
      </c>
      <c r="T535" s="5">
        <v>128</v>
      </c>
      <c r="U535" s="5">
        <v>384</v>
      </c>
      <c r="V535" s="5">
        <v>138.33</v>
      </c>
      <c r="W535" s="5">
        <v>414.99</v>
      </c>
      <c r="X535" s="4">
        <v>39344.58</v>
      </c>
      <c r="Y535">
        <v>2280</v>
      </c>
      <c r="Z535">
        <v>685</v>
      </c>
      <c r="AA535">
        <v>825</v>
      </c>
      <c r="AB535" s="1">
        <v>1.29</v>
      </c>
    </row>
    <row r="536" spans="1:28">
      <c r="B536" s="6" t="str">
        <f t="shared" si="8"/>
        <v>43115-DT1EJ20250101-A-JIEU8017930-PARTS</v>
      </c>
      <c r="C536" t="s">
        <v>80</v>
      </c>
      <c r="D536" t="s">
        <v>81</v>
      </c>
      <c r="E536" t="s">
        <v>393</v>
      </c>
      <c r="F536" t="s">
        <v>394</v>
      </c>
      <c r="G536" s="1" t="s">
        <v>84</v>
      </c>
      <c r="I536" s="1" t="s">
        <v>85</v>
      </c>
      <c r="J536" s="1" t="s">
        <v>453</v>
      </c>
      <c r="K536" s="1" t="s">
        <v>431</v>
      </c>
      <c r="L536">
        <v>8407349908</v>
      </c>
      <c r="M536" s="2" t="s">
        <v>432</v>
      </c>
      <c r="N536" s="3" t="s">
        <v>433</v>
      </c>
      <c r="O536" s="1">
        <v>3</v>
      </c>
      <c r="P536" s="4">
        <v>12116.7</v>
      </c>
      <c r="Q536" s="4">
        <v>2913.63</v>
      </c>
      <c r="R536" s="4">
        <v>80.85</v>
      </c>
      <c r="S536" s="4">
        <v>13114.86</v>
      </c>
      <c r="T536" s="5">
        <v>128</v>
      </c>
      <c r="U536" s="5">
        <v>384</v>
      </c>
      <c r="V536" s="5">
        <v>138.33</v>
      </c>
      <c r="W536" s="5">
        <v>414.99</v>
      </c>
      <c r="X536" s="4">
        <v>39344.58</v>
      </c>
      <c r="Y536">
        <v>2280</v>
      </c>
      <c r="Z536">
        <v>685</v>
      </c>
      <c r="AA536">
        <v>825</v>
      </c>
      <c r="AB536" s="1">
        <v>1.29</v>
      </c>
    </row>
    <row r="537" customHeight="1" spans="1:28">
      <c r="B537" s="6" t="str">
        <f t="shared" si="8"/>
        <v>43115-DT1EJ20250101-A-JIEU8017930-PARTS</v>
      </c>
      <c r="C537" s="29" t="s">
        <v>80</v>
      </c>
      <c r="D537" s="30" t="s">
        <v>81</v>
      </c>
      <c r="E537" s="30" t="s">
        <v>393</v>
      </c>
      <c r="F537" s="30" t="s">
        <v>394</v>
      </c>
      <c r="G537" s="31" t="s">
        <v>84</v>
      </c>
      <c r="H537" s="31"/>
      <c r="I537" s="31" t="s">
        <v>85</v>
      </c>
      <c r="J537" s="31" t="s">
        <v>454</v>
      </c>
      <c r="K537" s="31" t="s">
        <v>431</v>
      </c>
      <c r="L537" s="31">
        <v>8407349908</v>
      </c>
      <c r="M537" s="32" t="s">
        <v>432</v>
      </c>
      <c r="N537" s="33" t="s">
        <v>433</v>
      </c>
      <c r="O537" s="31">
        <v>3</v>
      </c>
      <c r="P537" s="34">
        <v>12116.7</v>
      </c>
      <c r="Q537" s="34">
        <v>2913.63</v>
      </c>
      <c r="R537" s="34">
        <v>80.85</v>
      </c>
      <c r="S537" s="34">
        <v>13114.86</v>
      </c>
      <c r="T537" s="35">
        <v>128</v>
      </c>
      <c r="U537" s="35">
        <v>384</v>
      </c>
      <c r="V537" s="35">
        <v>138.33</v>
      </c>
      <c r="W537" s="35">
        <v>414.99</v>
      </c>
      <c r="X537" s="34">
        <v>39344.58</v>
      </c>
      <c r="Y537" s="31">
        <v>2280</v>
      </c>
      <c r="Z537" s="31">
        <v>685</v>
      </c>
      <c r="AA537" s="31">
        <v>825</v>
      </c>
      <c r="AB537" s="31">
        <v>1.29</v>
      </c>
    </row>
    <row r="538" customHeight="1" spans="1:28">
      <c r="B538" s="6" t="str">
        <f t="shared" si="8"/>
        <v>43115-DT1EJ20250101-A-JIEU8017930-PARTS</v>
      </c>
      <c r="C538" s="29" t="s">
        <v>80</v>
      </c>
      <c r="D538" s="30" t="s">
        <v>81</v>
      </c>
      <c r="E538" s="30" t="s">
        <v>393</v>
      </c>
      <c r="F538" s="30" t="s">
        <v>394</v>
      </c>
      <c r="G538" s="31" t="s">
        <v>84</v>
      </c>
      <c r="H538" s="31"/>
      <c r="I538" s="31" t="s">
        <v>85</v>
      </c>
      <c r="J538" s="31" t="s">
        <v>455</v>
      </c>
      <c r="K538" s="31" t="s">
        <v>431</v>
      </c>
      <c r="L538" s="31">
        <v>8407349908</v>
      </c>
      <c r="M538" s="32" t="s">
        <v>432</v>
      </c>
      <c r="N538" s="33" t="s">
        <v>433</v>
      </c>
      <c r="O538" s="31">
        <v>3</v>
      </c>
      <c r="P538" s="34">
        <v>12116.7</v>
      </c>
      <c r="Q538" s="34">
        <v>2913.63</v>
      </c>
      <c r="R538" s="34">
        <v>80.85</v>
      </c>
      <c r="S538" s="34">
        <v>13114.86</v>
      </c>
      <c r="T538" s="35">
        <v>128</v>
      </c>
      <c r="U538" s="35">
        <v>384</v>
      </c>
      <c r="V538" s="35">
        <v>138.33</v>
      </c>
      <c r="W538" s="35">
        <v>414.99</v>
      </c>
      <c r="X538" s="34">
        <v>39344.58</v>
      </c>
      <c r="Y538" s="31">
        <v>2280</v>
      </c>
      <c r="Z538" s="31">
        <v>685</v>
      </c>
      <c r="AA538" s="31">
        <v>825</v>
      </c>
      <c r="AB538" s="31">
        <v>1.29</v>
      </c>
    </row>
    <row r="539" spans="1:28">
      <c r="B539" s="6" t="str">
        <f t="shared" si="8"/>
        <v>43115-DT1EJ20250101-A-JIEU8017930-PARTS</v>
      </c>
      <c r="C539" t="s">
        <v>80</v>
      </c>
      <c r="D539" t="s">
        <v>81</v>
      </c>
      <c r="E539" t="s">
        <v>393</v>
      </c>
      <c r="F539" t="s">
        <v>394</v>
      </c>
      <c r="G539" s="1" t="s">
        <v>84</v>
      </c>
      <c r="I539" s="1" t="s">
        <v>85</v>
      </c>
      <c r="J539" s="1" t="s">
        <v>456</v>
      </c>
      <c r="K539" s="1" t="s">
        <v>431</v>
      </c>
      <c r="L539">
        <v>8407349908</v>
      </c>
      <c r="M539" s="2" t="s">
        <v>432</v>
      </c>
      <c r="N539" s="3" t="s">
        <v>433</v>
      </c>
      <c r="O539" s="1">
        <v>3</v>
      </c>
      <c r="P539" s="4">
        <v>12116.7</v>
      </c>
      <c r="Q539" s="4">
        <v>2913.63</v>
      </c>
      <c r="R539" s="4">
        <v>80.85</v>
      </c>
      <c r="S539" s="4">
        <v>13114.86</v>
      </c>
      <c r="T539" s="5">
        <v>128</v>
      </c>
      <c r="U539" s="5">
        <v>384</v>
      </c>
      <c r="V539" s="5">
        <v>138.33</v>
      </c>
      <c r="W539" s="5">
        <v>414.99</v>
      </c>
      <c r="X539" s="4">
        <v>39344.58</v>
      </c>
      <c r="Y539">
        <v>2280</v>
      </c>
      <c r="Z539">
        <v>685</v>
      </c>
      <c r="AA539">
        <v>825</v>
      </c>
      <c r="AB539" s="1">
        <v>1.29</v>
      </c>
    </row>
    <row r="540" customHeight="1" spans="1:28">
      <c r="B540" s="6" t="str">
        <f t="shared" si="8"/>
        <v>43115-DT1EJ20250101-A-JIEU8017930-PARTS</v>
      </c>
      <c r="C540" s="29" t="s">
        <v>80</v>
      </c>
      <c r="D540" s="30" t="s">
        <v>81</v>
      </c>
      <c r="E540" s="30" t="s">
        <v>393</v>
      </c>
      <c r="F540" s="30" t="s">
        <v>394</v>
      </c>
      <c r="G540" s="31" t="s">
        <v>84</v>
      </c>
      <c r="H540" s="31"/>
      <c r="I540" s="31" t="s">
        <v>85</v>
      </c>
      <c r="J540" s="31" t="s">
        <v>457</v>
      </c>
      <c r="K540" s="31" t="s">
        <v>431</v>
      </c>
      <c r="L540" s="31">
        <v>8407349908</v>
      </c>
      <c r="M540" s="32" t="s">
        <v>432</v>
      </c>
      <c r="N540" s="33" t="s">
        <v>433</v>
      </c>
      <c r="O540" s="31">
        <v>3</v>
      </c>
      <c r="P540" s="34">
        <v>12116.7</v>
      </c>
      <c r="Q540" s="34">
        <v>2913.63</v>
      </c>
      <c r="R540" s="34">
        <v>80.85</v>
      </c>
      <c r="S540" s="34">
        <v>13114.86</v>
      </c>
      <c r="T540" s="35">
        <v>128</v>
      </c>
      <c r="U540" s="35">
        <v>384</v>
      </c>
      <c r="V540" s="35">
        <v>138.33</v>
      </c>
      <c r="W540" s="35">
        <v>414.99</v>
      </c>
      <c r="X540" s="34">
        <v>39344.58</v>
      </c>
      <c r="Y540" s="31">
        <v>2280</v>
      </c>
      <c r="Z540" s="31">
        <v>685</v>
      </c>
      <c r="AA540" s="31">
        <v>825</v>
      </c>
      <c r="AB540" s="31">
        <v>1.29</v>
      </c>
    </row>
    <row r="541" spans="1:28">
      <c r="B541" s="6" t="str">
        <f t="shared" si="8"/>
        <v>43115-DT1EJ20250101-A-JIEU8017930-PARTS</v>
      </c>
      <c r="C541" t="s">
        <v>80</v>
      </c>
      <c r="D541" t="s">
        <v>81</v>
      </c>
      <c r="E541" t="s">
        <v>393</v>
      </c>
      <c r="F541" t="s">
        <v>394</v>
      </c>
      <c r="G541" s="1" t="s">
        <v>84</v>
      </c>
      <c r="I541" s="1" t="s">
        <v>85</v>
      </c>
      <c r="J541" s="1" t="s">
        <v>458</v>
      </c>
      <c r="K541" s="1" t="s">
        <v>431</v>
      </c>
      <c r="L541">
        <v>8407349908</v>
      </c>
      <c r="M541" s="2" t="s">
        <v>432</v>
      </c>
      <c r="N541" s="3" t="s">
        <v>433</v>
      </c>
      <c r="O541" s="1">
        <v>3</v>
      </c>
      <c r="P541" s="4">
        <v>12116.7</v>
      </c>
      <c r="Q541" s="4">
        <v>2913.63</v>
      </c>
      <c r="R541" s="4">
        <v>80.85</v>
      </c>
      <c r="S541" s="4">
        <v>13114.86</v>
      </c>
      <c r="T541" s="5">
        <v>128</v>
      </c>
      <c r="U541" s="5">
        <v>384</v>
      </c>
      <c r="V541" s="5">
        <v>138.33</v>
      </c>
      <c r="W541" s="5">
        <v>414.99</v>
      </c>
      <c r="X541" s="4">
        <v>39344.58</v>
      </c>
      <c r="Y541">
        <v>2280</v>
      </c>
      <c r="Z541">
        <v>685</v>
      </c>
      <c r="AA541">
        <v>825</v>
      </c>
      <c r="AB541" s="1">
        <v>1.29</v>
      </c>
    </row>
    <row r="542" customHeight="1" spans="1:28">
      <c r="B542" s="6" t="str">
        <f t="shared" si="8"/>
        <v>43115-DT1EJ20250101-A-JIEU8017930-PARTS</v>
      </c>
      <c r="C542" s="29" t="s">
        <v>80</v>
      </c>
      <c r="D542" s="30" t="s">
        <v>81</v>
      </c>
      <c r="E542" s="30" t="s">
        <v>393</v>
      </c>
      <c r="F542" s="30" t="s">
        <v>394</v>
      </c>
      <c r="G542" s="31" t="s">
        <v>84</v>
      </c>
      <c r="H542" s="31"/>
      <c r="I542" s="31" t="s">
        <v>85</v>
      </c>
      <c r="J542" s="31" t="s">
        <v>459</v>
      </c>
      <c r="K542" s="31" t="s">
        <v>431</v>
      </c>
      <c r="L542" s="31">
        <v>8407349908</v>
      </c>
      <c r="M542" s="32" t="s">
        <v>432</v>
      </c>
      <c r="N542" s="33" t="s">
        <v>433</v>
      </c>
      <c r="O542" s="31">
        <v>3</v>
      </c>
      <c r="P542" s="34">
        <v>12116.7</v>
      </c>
      <c r="Q542" s="34">
        <v>2913.63</v>
      </c>
      <c r="R542" s="34">
        <v>80.85</v>
      </c>
      <c r="S542" s="34">
        <v>13114.86</v>
      </c>
      <c r="T542" s="35">
        <v>128</v>
      </c>
      <c r="U542" s="35">
        <v>384</v>
      </c>
      <c r="V542" s="35">
        <v>138.33</v>
      </c>
      <c r="W542" s="35">
        <v>414.99</v>
      </c>
      <c r="X542" s="34">
        <v>39344.58</v>
      </c>
      <c r="Y542" s="31">
        <v>2280</v>
      </c>
      <c r="Z542" s="31">
        <v>685</v>
      </c>
      <c r="AA542" s="31">
        <v>825</v>
      </c>
      <c r="AB542" s="31">
        <v>1.29</v>
      </c>
    </row>
    <row r="543" customHeight="1" spans="1:28">
      <c r="B543" s="6" t="str">
        <f t="shared" si="8"/>
        <v>43115-DT1EJ20250101-A-JIEU8017930-PARTS</v>
      </c>
      <c r="C543" s="29" t="s">
        <v>80</v>
      </c>
      <c r="D543" s="30" t="s">
        <v>81</v>
      </c>
      <c r="E543" s="30" t="s">
        <v>393</v>
      </c>
      <c r="F543" s="30" t="s">
        <v>394</v>
      </c>
      <c r="G543" s="31" t="s">
        <v>84</v>
      </c>
      <c r="H543" s="31"/>
      <c r="I543" s="31" t="s">
        <v>85</v>
      </c>
      <c r="J543" s="31" t="s">
        <v>460</v>
      </c>
      <c r="K543" s="31" t="s">
        <v>431</v>
      </c>
      <c r="L543" s="31">
        <v>8407349908</v>
      </c>
      <c r="M543" s="32" t="s">
        <v>432</v>
      </c>
      <c r="N543" s="33" t="s">
        <v>433</v>
      </c>
      <c r="O543" s="31">
        <v>3</v>
      </c>
      <c r="P543" s="34">
        <v>12116.7</v>
      </c>
      <c r="Q543" s="34">
        <v>2913.63</v>
      </c>
      <c r="R543" s="34">
        <v>80.85</v>
      </c>
      <c r="S543" s="34">
        <v>13114.86</v>
      </c>
      <c r="T543" s="35">
        <v>128</v>
      </c>
      <c r="U543" s="35">
        <v>384</v>
      </c>
      <c r="V543" s="35">
        <v>138.33</v>
      </c>
      <c r="W543" s="35">
        <v>414.99</v>
      </c>
      <c r="X543" s="34">
        <v>39344.58</v>
      </c>
      <c r="Y543" s="31">
        <v>2280</v>
      </c>
      <c r="Z543" s="31">
        <v>685</v>
      </c>
      <c r="AA543" s="31">
        <v>825</v>
      </c>
      <c r="AB543" s="31">
        <v>1.29</v>
      </c>
    </row>
    <row r="544" customHeight="1" spans="1:28">
      <c r="B544" s="6" t="str">
        <f t="shared" si="8"/>
        <v>43115-DT1EJ20250101-A-JIEU8017930-PARTS</v>
      </c>
      <c r="C544" s="29" t="s">
        <v>80</v>
      </c>
      <c r="D544" s="30" t="s">
        <v>81</v>
      </c>
      <c r="E544" s="30" t="s">
        <v>393</v>
      </c>
      <c r="F544" s="30" t="s">
        <v>394</v>
      </c>
      <c r="G544" s="31" t="s">
        <v>84</v>
      </c>
      <c r="H544" s="31"/>
      <c r="I544" s="31" t="s">
        <v>85</v>
      </c>
      <c r="J544" s="31" t="s">
        <v>461</v>
      </c>
      <c r="K544" s="31" t="s">
        <v>431</v>
      </c>
      <c r="L544" s="31">
        <v>8407349908</v>
      </c>
      <c r="M544" s="32" t="s">
        <v>432</v>
      </c>
      <c r="N544" s="33" t="s">
        <v>433</v>
      </c>
      <c r="O544" s="31">
        <v>3</v>
      </c>
      <c r="P544" s="34">
        <v>12116.7</v>
      </c>
      <c r="Q544" s="34">
        <v>2913.63</v>
      </c>
      <c r="R544" s="34">
        <v>80.85</v>
      </c>
      <c r="S544" s="34">
        <v>13114.86</v>
      </c>
      <c r="T544" s="35">
        <v>128</v>
      </c>
      <c r="U544" s="35">
        <v>384</v>
      </c>
      <c r="V544" s="35">
        <v>138.33</v>
      </c>
      <c r="W544" s="35">
        <v>414.99</v>
      </c>
      <c r="X544" s="34">
        <v>39344.58</v>
      </c>
      <c r="Y544" s="31">
        <v>2280</v>
      </c>
      <c r="Z544" s="31">
        <v>685</v>
      </c>
      <c r="AA544" s="31">
        <v>825</v>
      </c>
      <c r="AB544" s="31">
        <v>1.29</v>
      </c>
    </row>
    <row r="545" customHeight="1" spans="2:28">
      <c r="B545" s="6" t="str">
        <f t="shared" si="8"/>
        <v>43115-DT1EJ20250101-A-JIEU8017930-PARTS</v>
      </c>
      <c r="C545" s="29" t="s">
        <v>80</v>
      </c>
      <c r="D545" s="30" t="s">
        <v>81</v>
      </c>
      <c r="E545" s="30" t="s">
        <v>393</v>
      </c>
      <c r="F545" s="30" t="s">
        <v>394</v>
      </c>
      <c r="G545" s="31" t="s">
        <v>84</v>
      </c>
      <c r="H545" s="31"/>
      <c r="I545" s="31" t="s">
        <v>85</v>
      </c>
      <c r="J545" s="31" t="s">
        <v>462</v>
      </c>
      <c r="K545" s="31" t="s">
        <v>431</v>
      </c>
      <c r="L545" s="31">
        <v>8407349908</v>
      </c>
      <c r="M545" s="32" t="s">
        <v>432</v>
      </c>
      <c r="N545" s="33" t="s">
        <v>433</v>
      </c>
      <c r="O545" s="31">
        <v>3</v>
      </c>
      <c r="P545" s="34">
        <v>12116.7</v>
      </c>
      <c r="Q545" s="34">
        <v>2913.63</v>
      </c>
      <c r="R545" s="34">
        <v>80.85</v>
      </c>
      <c r="S545" s="34">
        <v>13114.86</v>
      </c>
      <c r="T545" s="35">
        <v>128</v>
      </c>
      <c r="U545" s="35">
        <v>384</v>
      </c>
      <c r="V545" s="35">
        <v>138.33</v>
      </c>
      <c r="W545" s="35">
        <v>414.99</v>
      </c>
      <c r="X545" s="34">
        <v>39344.58</v>
      </c>
      <c r="Y545" s="31">
        <v>2280</v>
      </c>
      <c r="Z545" s="31">
        <v>685</v>
      </c>
      <c r="AA545" s="31">
        <v>825</v>
      </c>
      <c r="AB545" s="31">
        <v>1.29</v>
      </c>
    </row>
    <row r="546" customHeight="1" spans="2:28">
      <c r="B546" s="6" t="str">
        <f t="shared" si="8"/>
        <v>43115-DT1EJ20250101-A-JIEU8017930-PARTS</v>
      </c>
      <c r="C546" s="29" t="s">
        <v>80</v>
      </c>
      <c r="D546" s="30" t="s">
        <v>81</v>
      </c>
      <c r="E546" s="30" t="s">
        <v>393</v>
      </c>
      <c r="F546" s="30" t="s">
        <v>394</v>
      </c>
      <c r="G546" s="31" t="s">
        <v>84</v>
      </c>
      <c r="H546" s="31"/>
      <c r="I546" s="31" t="s">
        <v>85</v>
      </c>
      <c r="J546" s="31" t="s">
        <v>463</v>
      </c>
      <c r="K546" s="31" t="s">
        <v>431</v>
      </c>
      <c r="L546" s="31">
        <v>8407349908</v>
      </c>
      <c r="M546" s="32" t="s">
        <v>432</v>
      </c>
      <c r="N546" s="33" t="s">
        <v>433</v>
      </c>
      <c r="O546" s="31">
        <v>3</v>
      </c>
      <c r="P546" s="34">
        <v>12116.7</v>
      </c>
      <c r="Q546" s="34">
        <v>2913.63</v>
      </c>
      <c r="R546" s="34">
        <v>80.85</v>
      </c>
      <c r="S546" s="34">
        <v>13114.86</v>
      </c>
      <c r="T546" s="35">
        <v>128</v>
      </c>
      <c r="U546" s="35">
        <v>384</v>
      </c>
      <c r="V546" s="35">
        <v>138.33</v>
      </c>
      <c r="W546" s="35">
        <v>414.99</v>
      </c>
      <c r="X546" s="34">
        <v>39344.58</v>
      </c>
      <c r="Y546" s="31">
        <v>2280</v>
      </c>
      <c r="Z546" s="31">
        <v>685</v>
      </c>
      <c r="AA546" s="31">
        <v>825</v>
      </c>
      <c r="AB546" s="31">
        <v>1.29</v>
      </c>
    </row>
    <row r="547" customHeight="1" spans="2:28">
      <c r="B547" s="6" t="str">
        <f t="shared" si="8"/>
        <v>43115-DT1EJ20250101-A-JIEU8017930-PARTS</v>
      </c>
      <c r="C547" s="29" t="s">
        <v>80</v>
      </c>
      <c r="D547" s="30" t="s">
        <v>81</v>
      </c>
      <c r="E547" s="30" t="s">
        <v>393</v>
      </c>
      <c r="F547" s="30" t="s">
        <v>394</v>
      </c>
      <c r="G547" s="31" t="s">
        <v>84</v>
      </c>
      <c r="H547" s="31"/>
      <c r="I547" s="31" t="s">
        <v>85</v>
      </c>
      <c r="J547" s="31" t="s">
        <v>464</v>
      </c>
      <c r="K547" s="31" t="s">
        <v>431</v>
      </c>
      <c r="L547" s="31">
        <v>8407349908</v>
      </c>
      <c r="M547" s="32" t="s">
        <v>432</v>
      </c>
      <c r="N547" s="33" t="s">
        <v>433</v>
      </c>
      <c r="O547" s="31">
        <v>3</v>
      </c>
      <c r="P547" s="34">
        <v>12116.7</v>
      </c>
      <c r="Q547" s="34">
        <v>2913.63</v>
      </c>
      <c r="R547" s="34">
        <v>80.85</v>
      </c>
      <c r="S547" s="34">
        <v>13114.86</v>
      </c>
      <c r="T547" s="35">
        <v>128</v>
      </c>
      <c r="U547" s="35">
        <v>384</v>
      </c>
      <c r="V547" s="35">
        <v>138.33</v>
      </c>
      <c r="W547" s="35">
        <v>414.99</v>
      </c>
      <c r="X547" s="34">
        <v>39344.58</v>
      </c>
      <c r="Y547" s="31">
        <v>2280</v>
      </c>
      <c r="Z547" s="31">
        <v>685</v>
      </c>
      <c r="AA547" s="31">
        <v>825</v>
      </c>
      <c r="AB547" s="31">
        <v>1.29</v>
      </c>
    </row>
    <row r="548" customHeight="1" spans="2:28">
      <c r="B548" s="6" t="str">
        <f t="shared" si="8"/>
        <v>43115-DT1EJ20250101-A-JIEU8018198-PARTS</v>
      </c>
      <c r="C548" s="29" t="s">
        <v>80</v>
      </c>
      <c r="D548" s="30" t="s">
        <v>81</v>
      </c>
      <c r="E548" s="30" t="s">
        <v>465</v>
      </c>
      <c r="F548" s="30" t="s">
        <v>466</v>
      </c>
      <c r="G548" s="31" t="s">
        <v>84</v>
      </c>
      <c r="H548" s="31"/>
      <c r="I548" s="31" t="s">
        <v>85</v>
      </c>
      <c r="J548" s="31" t="s">
        <v>467</v>
      </c>
      <c r="K548" s="31" t="s">
        <v>468</v>
      </c>
      <c r="L548" s="31">
        <v>8708803509</v>
      </c>
      <c r="M548" s="32" t="s">
        <v>469</v>
      </c>
      <c r="N548" s="33" t="s">
        <v>470</v>
      </c>
      <c r="O548" s="31">
        <v>60</v>
      </c>
      <c r="P548" s="34">
        <v>137.31</v>
      </c>
      <c r="Q548" s="34">
        <v>660.6</v>
      </c>
      <c r="R548" s="34">
        <v>19.2</v>
      </c>
      <c r="S548" s="34">
        <v>148.64</v>
      </c>
      <c r="T548" s="35">
        <v>2.206</v>
      </c>
      <c r="U548" s="35">
        <v>132.36</v>
      </c>
      <c r="V548" s="35">
        <v>2.77</v>
      </c>
      <c r="W548" s="35">
        <v>166.2</v>
      </c>
      <c r="X548" s="34">
        <v>8918.4</v>
      </c>
      <c r="Y548" s="31">
        <v>1060</v>
      </c>
      <c r="Z548" s="31">
        <v>920</v>
      </c>
      <c r="AA548" s="31">
        <v>870</v>
      </c>
      <c r="AB548" s="31">
        <v>0.85</v>
      </c>
    </row>
    <row r="549" customHeight="1" spans="2:28">
      <c r="B549" s="6" t="str">
        <f t="shared" si="8"/>
        <v>43115-DT1EJ20250101-A-JIEU8018198-PARTS</v>
      </c>
      <c r="C549" s="29" t="s">
        <v>80</v>
      </c>
      <c r="D549" s="30" t="s">
        <v>81</v>
      </c>
      <c r="E549" s="30" t="s">
        <v>465</v>
      </c>
      <c r="F549" s="30" t="s">
        <v>466</v>
      </c>
      <c r="G549" s="31" t="s">
        <v>84</v>
      </c>
      <c r="H549" s="31"/>
      <c r="I549" s="31" t="s">
        <v>85</v>
      </c>
      <c r="J549" s="31" t="s">
        <v>471</v>
      </c>
      <c r="K549" s="31" t="s">
        <v>468</v>
      </c>
      <c r="L549" s="31">
        <v>8708803509</v>
      </c>
      <c r="M549" s="32" t="s">
        <v>469</v>
      </c>
      <c r="N549" s="33" t="s">
        <v>470</v>
      </c>
      <c r="O549" s="31">
        <v>60</v>
      </c>
      <c r="P549" s="34">
        <v>137.31</v>
      </c>
      <c r="Q549" s="34">
        <v>660.6</v>
      </c>
      <c r="R549" s="34">
        <v>19.2</v>
      </c>
      <c r="S549" s="34">
        <v>148.64</v>
      </c>
      <c r="T549" s="35">
        <v>2.206</v>
      </c>
      <c r="U549" s="35">
        <v>132.36</v>
      </c>
      <c r="V549" s="35">
        <v>2.77</v>
      </c>
      <c r="W549" s="35">
        <v>166.2</v>
      </c>
      <c r="X549" s="34">
        <v>8918.4</v>
      </c>
      <c r="Y549" s="31">
        <v>1060</v>
      </c>
      <c r="Z549" s="31">
        <v>920</v>
      </c>
      <c r="AA549" s="31">
        <v>870</v>
      </c>
      <c r="AB549" s="31">
        <v>0.85</v>
      </c>
    </row>
    <row r="550" spans="2:28">
      <c r="B550" s="6" t="str">
        <f t="shared" si="8"/>
        <v>43115-DT1EJ20250101-A-JIEU8018198-PARTS</v>
      </c>
      <c r="C550" t="s">
        <v>80</v>
      </c>
      <c r="D550" t="s">
        <v>81</v>
      </c>
      <c r="E550" t="s">
        <v>465</v>
      </c>
      <c r="F550" t="s">
        <v>466</v>
      </c>
      <c r="G550" s="1" t="s">
        <v>84</v>
      </c>
      <c r="I550" s="1" t="s">
        <v>85</v>
      </c>
      <c r="J550" s="1" t="s">
        <v>472</v>
      </c>
      <c r="K550" s="1" t="s">
        <v>468</v>
      </c>
      <c r="L550">
        <v>8708803509</v>
      </c>
      <c r="M550" s="2" t="s">
        <v>469</v>
      </c>
      <c r="N550" s="3" t="s">
        <v>470</v>
      </c>
      <c r="O550" s="1">
        <v>60</v>
      </c>
      <c r="P550" s="4">
        <v>137.31</v>
      </c>
      <c r="Q550" s="4">
        <v>660.6</v>
      </c>
      <c r="R550" s="4">
        <v>19.2</v>
      </c>
      <c r="S550" s="4">
        <v>148.64</v>
      </c>
      <c r="T550" s="5">
        <v>2.206</v>
      </c>
      <c r="U550" s="5">
        <v>132.36</v>
      </c>
      <c r="V550" s="5">
        <v>2.77</v>
      </c>
      <c r="W550" s="5">
        <v>166.2</v>
      </c>
      <c r="X550" s="4">
        <v>8918.4</v>
      </c>
      <c r="Y550">
        <v>1060</v>
      </c>
      <c r="Z550">
        <v>920</v>
      </c>
      <c r="AA550">
        <v>870</v>
      </c>
      <c r="AB550" s="1">
        <v>0.85</v>
      </c>
    </row>
    <row r="551" customHeight="1" spans="2:28">
      <c r="B551" s="6" t="str">
        <f t="shared" si="8"/>
        <v>43115-DT1EJ20250101-A-JIEU8018198-PARTS</v>
      </c>
      <c r="C551" s="29" t="s">
        <v>80</v>
      </c>
      <c r="D551" s="30" t="s">
        <v>81</v>
      </c>
      <c r="E551" s="30" t="s">
        <v>465</v>
      </c>
      <c r="F551" s="30" t="s">
        <v>466</v>
      </c>
      <c r="G551" s="31" t="s">
        <v>84</v>
      </c>
      <c r="H551" s="31"/>
      <c r="I551" s="31" t="s">
        <v>85</v>
      </c>
      <c r="J551" s="31" t="s">
        <v>473</v>
      </c>
      <c r="K551" s="31" t="s">
        <v>468</v>
      </c>
      <c r="L551" s="31">
        <v>8708803509</v>
      </c>
      <c r="M551" s="32" t="s">
        <v>469</v>
      </c>
      <c r="N551" s="33" t="s">
        <v>470</v>
      </c>
      <c r="O551" s="31">
        <v>60</v>
      </c>
      <c r="P551" s="34">
        <v>137.31</v>
      </c>
      <c r="Q551" s="34">
        <v>660.6</v>
      </c>
      <c r="R551" s="34">
        <v>19.2</v>
      </c>
      <c r="S551" s="34">
        <v>148.64</v>
      </c>
      <c r="T551" s="35">
        <v>2.206</v>
      </c>
      <c r="U551" s="35">
        <v>132.36</v>
      </c>
      <c r="V551" s="35">
        <v>2.77</v>
      </c>
      <c r="W551" s="35">
        <v>166.2</v>
      </c>
      <c r="X551" s="34">
        <v>8918.4</v>
      </c>
      <c r="Y551" s="31">
        <v>1060</v>
      </c>
      <c r="Z551" s="31">
        <v>920</v>
      </c>
      <c r="AA551" s="31">
        <v>870</v>
      </c>
      <c r="AB551" s="31">
        <v>0.85</v>
      </c>
    </row>
    <row r="552" customHeight="1" spans="2:28">
      <c r="B552" s="6" t="str">
        <f t="shared" si="8"/>
        <v>43115-DT1EJ20250101-A-JIEU8018198-PARTS</v>
      </c>
      <c r="C552" s="29" t="s">
        <v>80</v>
      </c>
      <c r="D552" s="30" t="s">
        <v>81</v>
      </c>
      <c r="E552" s="30" t="s">
        <v>465</v>
      </c>
      <c r="F552" s="30" t="s">
        <v>466</v>
      </c>
      <c r="G552" s="31" t="s">
        <v>84</v>
      </c>
      <c r="H552" s="31"/>
      <c r="I552" s="31" t="s">
        <v>85</v>
      </c>
      <c r="J552" s="31" t="s">
        <v>474</v>
      </c>
      <c r="K552" s="31" t="s">
        <v>87</v>
      </c>
      <c r="L552" s="31">
        <v>8708999709</v>
      </c>
      <c r="M552" s="32" t="s">
        <v>88</v>
      </c>
      <c r="N552" s="33" t="s">
        <v>89</v>
      </c>
      <c r="O552" s="31">
        <v>1</v>
      </c>
      <c r="P552" s="34">
        <v>831.11</v>
      </c>
      <c r="Q552" s="34">
        <v>66.62</v>
      </c>
      <c r="R552" s="34">
        <v>1.92</v>
      </c>
      <c r="S552" s="34">
        <v>899.65</v>
      </c>
      <c r="T552" s="35">
        <v>7.824</v>
      </c>
      <c r="U552" s="35">
        <v>7.824</v>
      </c>
      <c r="V552" s="35">
        <v>11.27</v>
      </c>
      <c r="W552" s="35">
        <v>11.27</v>
      </c>
      <c r="X552" s="34">
        <v>899.65</v>
      </c>
      <c r="Y552" s="31">
        <v>2280</v>
      </c>
      <c r="Z552" s="31">
        <v>1100</v>
      </c>
      <c r="AA552" s="31">
        <v>2420</v>
      </c>
      <c r="AB552" s="31">
        <v>6.07</v>
      </c>
    </row>
    <row r="553" customHeight="1" spans="2:28">
      <c r="B553" s="6" t="str">
        <f t="shared" si="8"/>
        <v>43115-DT1EJ20250101-A-JIEU8018198-PARTS</v>
      </c>
      <c r="C553" s="29" t="s">
        <v>80</v>
      </c>
      <c r="D553" s="30" t="s">
        <v>81</v>
      </c>
      <c r="E553" s="30" t="s">
        <v>465</v>
      </c>
      <c r="F553" s="30" t="s">
        <v>466</v>
      </c>
      <c r="G553" s="31" t="s">
        <v>84</v>
      </c>
      <c r="H553" s="31"/>
      <c r="I553" s="31" t="s">
        <v>85</v>
      </c>
      <c r="J553" s="31" t="s">
        <v>474</v>
      </c>
      <c r="K553" s="31" t="s">
        <v>90</v>
      </c>
      <c r="L553" s="31">
        <v>8708299009</v>
      </c>
      <c r="M553" s="32" t="s">
        <v>91</v>
      </c>
      <c r="N553" s="33" t="s">
        <v>92</v>
      </c>
      <c r="O553" s="31">
        <v>1</v>
      </c>
      <c r="P553" s="34">
        <v>20</v>
      </c>
      <c r="Q553" s="34">
        <v>1.6</v>
      </c>
      <c r="R553" s="34">
        <v>0.05</v>
      </c>
      <c r="S553" s="34">
        <v>21.65</v>
      </c>
      <c r="T553" s="35">
        <v>0.633</v>
      </c>
      <c r="U553" s="35">
        <v>0.633</v>
      </c>
      <c r="V553" s="35">
        <v>0.91</v>
      </c>
      <c r="W553" s="35">
        <v>0.91</v>
      </c>
      <c r="X553" s="34">
        <v>21.65</v>
      </c>
      <c r="Y553" s="31"/>
      <c r="Z553" s="31"/>
      <c r="AA553" s="31"/>
      <c r="AB553" s="31"/>
    </row>
    <row r="554" customHeight="1" spans="2:28">
      <c r="B554" s="6" t="str">
        <f t="shared" si="8"/>
        <v>43115-DT1EJ20250101-A-JIEU8018198-PARTS</v>
      </c>
      <c r="C554" s="29" t="s">
        <v>80</v>
      </c>
      <c r="D554" s="30" t="s">
        <v>81</v>
      </c>
      <c r="E554" s="30" t="s">
        <v>465</v>
      </c>
      <c r="F554" s="30" t="s">
        <v>466</v>
      </c>
      <c r="G554" s="31" t="s">
        <v>84</v>
      </c>
      <c r="H554" s="31"/>
      <c r="I554" s="31" t="s">
        <v>85</v>
      </c>
      <c r="J554" s="31" t="s">
        <v>474</v>
      </c>
      <c r="K554" s="31" t="s">
        <v>93</v>
      </c>
      <c r="L554" s="31">
        <v>8708299009</v>
      </c>
      <c r="M554" s="32" t="s">
        <v>94</v>
      </c>
      <c r="N554" s="33" t="s">
        <v>95</v>
      </c>
      <c r="O554" s="31">
        <v>1</v>
      </c>
      <c r="P554" s="34">
        <v>19.64</v>
      </c>
      <c r="Q554" s="34">
        <v>1.57</v>
      </c>
      <c r="R554" s="34">
        <v>0.05</v>
      </c>
      <c r="S554" s="34">
        <v>21.26</v>
      </c>
      <c r="T554" s="35">
        <v>0.622</v>
      </c>
      <c r="U554" s="35">
        <v>0.622</v>
      </c>
      <c r="V554" s="35">
        <v>0.9</v>
      </c>
      <c r="W554" s="35">
        <v>0.9</v>
      </c>
      <c r="X554" s="34">
        <v>21.26</v>
      </c>
      <c r="Y554" s="31"/>
      <c r="Z554" s="31"/>
      <c r="AA554" s="31"/>
      <c r="AB554" s="31"/>
    </row>
    <row r="555" customHeight="1" spans="2:28">
      <c r="B555" s="6" t="str">
        <f t="shared" si="8"/>
        <v>43115-DT1EJ20250101-A-JIEU8018198-PARTS</v>
      </c>
      <c r="C555" s="29" t="s">
        <v>80</v>
      </c>
      <c r="D555" s="30" t="s">
        <v>81</v>
      </c>
      <c r="E555" s="30" t="s">
        <v>465</v>
      </c>
      <c r="F555" s="30" t="s">
        <v>466</v>
      </c>
      <c r="G555" s="31" t="s">
        <v>84</v>
      </c>
      <c r="H555" s="31"/>
      <c r="I555" s="31" t="s">
        <v>85</v>
      </c>
      <c r="J555" s="31" t="s">
        <v>474</v>
      </c>
      <c r="K555" s="31" t="s">
        <v>87</v>
      </c>
      <c r="L555" s="31">
        <v>8708999709</v>
      </c>
      <c r="M555" s="32" t="s">
        <v>88</v>
      </c>
      <c r="N555" s="33" t="s">
        <v>89</v>
      </c>
      <c r="O555" s="31">
        <v>1</v>
      </c>
      <c r="P555" s="34">
        <v>831.11</v>
      </c>
      <c r="Q555" s="34">
        <v>66.62</v>
      </c>
      <c r="R555" s="34">
        <v>1.92</v>
      </c>
      <c r="S555" s="34">
        <v>899.65</v>
      </c>
      <c r="T555" s="35">
        <v>7.824</v>
      </c>
      <c r="U555" s="35">
        <v>7.824</v>
      </c>
      <c r="V555" s="35">
        <v>11.27</v>
      </c>
      <c r="W555" s="35">
        <v>11.27</v>
      </c>
      <c r="X555" s="34">
        <v>899.65</v>
      </c>
      <c r="Y555" s="31"/>
      <c r="Z555" s="31"/>
      <c r="AA555" s="31"/>
      <c r="AB555" s="31"/>
    </row>
    <row r="556" customHeight="1" spans="2:28">
      <c r="B556" s="6" t="str">
        <f t="shared" si="8"/>
        <v>43115-DT1EJ20250101-A-JIEU8018198-PARTS</v>
      </c>
      <c r="C556" s="29" t="s">
        <v>80</v>
      </c>
      <c r="D556" s="30" t="s">
        <v>81</v>
      </c>
      <c r="E556" s="30" t="s">
        <v>465</v>
      </c>
      <c r="F556" s="30" t="s">
        <v>466</v>
      </c>
      <c r="G556" s="31" t="s">
        <v>84</v>
      </c>
      <c r="H556" s="31"/>
      <c r="I556" s="31" t="s">
        <v>85</v>
      </c>
      <c r="J556" s="31" t="s">
        <v>474</v>
      </c>
      <c r="K556" s="31" t="s">
        <v>90</v>
      </c>
      <c r="L556" s="31">
        <v>8708299009</v>
      </c>
      <c r="M556" s="32" t="s">
        <v>91</v>
      </c>
      <c r="N556" s="33" t="s">
        <v>92</v>
      </c>
      <c r="O556" s="31">
        <v>1</v>
      </c>
      <c r="P556" s="34">
        <v>20</v>
      </c>
      <c r="Q556" s="34">
        <v>1.6</v>
      </c>
      <c r="R556" s="34">
        <v>0.05</v>
      </c>
      <c r="S556" s="34">
        <v>21.65</v>
      </c>
      <c r="T556" s="35">
        <v>0.633</v>
      </c>
      <c r="U556" s="35">
        <v>0.633</v>
      </c>
      <c r="V556" s="35">
        <v>0.91</v>
      </c>
      <c r="W556" s="35">
        <v>0.91</v>
      </c>
      <c r="X556" s="34">
        <v>21.65</v>
      </c>
      <c r="Y556" s="31"/>
      <c r="Z556" s="31"/>
      <c r="AA556" s="31"/>
      <c r="AB556" s="31"/>
    </row>
    <row r="557" customHeight="1" spans="2:28">
      <c r="B557" s="6" t="str">
        <f t="shared" si="8"/>
        <v>43115-DT1EJ20250101-A-JIEU8018198-PARTS</v>
      </c>
      <c r="C557" s="29" t="s">
        <v>80</v>
      </c>
      <c r="D557" s="30" t="s">
        <v>81</v>
      </c>
      <c r="E557" s="30" t="s">
        <v>465</v>
      </c>
      <c r="F557" s="30" t="s">
        <v>466</v>
      </c>
      <c r="G557" s="31" t="s">
        <v>84</v>
      </c>
      <c r="H557" s="31"/>
      <c r="I557" s="31" t="s">
        <v>85</v>
      </c>
      <c r="J557" s="31" t="s">
        <v>474</v>
      </c>
      <c r="K557" s="31" t="s">
        <v>93</v>
      </c>
      <c r="L557" s="31">
        <v>8708299009</v>
      </c>
      <c r="M557" s="32" t="s">
        <v>94</v>
      </c>
      <c r="N557" s="33" t="s">
        <v>95</v>
      </c>
      <c r="O557" s="31">
        <v>1</v>
      </c>
      <c r="P557" s="34">
        <v>19.64</v>
      </c>
      <c r="Q557" s="34">
        <v>1.57</v>
      </c>
      <c r="R557" s="34">
        <v>0.05</v>
      </c>
      <c r="S557" s="34">
        <v>21.26</v>
      </c>
      <c r="T557" s="35">
        <v>0.622</v>
      </c>
      <c r="U557" s="35">
        <v>0.622</v>
      </c>
      <c r="V557" s="35">
        <v>0.9</v>
      </c>
      <c r="W557" s="35">
        <v>0.9</v>
      </c>
      <c r="X557" s="34">
        <v>21.26</v>
      </c>
      <c r="Y557" s="31"/>
      <c r="Z557" s="31"/>
      <c r="AA557" s="31"/>
      <c r="AB557" s="31"/>
    </row>
    <row r="558" customHeight="1" spans="2:28">
      <c r="B558" s="6" t="str">
        <f t="shared" si="8"/>
        <v>43115-DT1EJ20250101-A-JIEU8018198-PARTS</v>
      </c>
      <c r="C558" s="29" t="s">
        <v>80</v>
      </c>
      <c r="D558" s="30" t="s">
        <v>81</v>
      </c>
      <c r="E558" s="30" t="s">
        <v>465</v>
      </c>
      <c r="F558" s="30" t="s">
        <v>466</v>
      </c>
      <c r="G558" s="31" t="s">
        <v>84</v>
      </c>
      <c r="H558" s="31"/>
      <c r="I558" s="31" t="s">
        <v>85</v>
      </c>
      <c r="J558" s="31" t="s">
        <v>474</v>
      </c>
      <c r="K558" s="31" t="s">
        <v>87</v>
      </c>
      <c r="L558" s="31">
        <v>8708999709</v>
      </c>
      <c r="M558" s="32" t="s">
        <v>88</v>
      </c>
      <c r="N558" s="33" t="s">
        <v>89</v>
      </c>
      <c r="O558" s="31">
        <v>1</v>
      </c>
      <c r="P558" s="34">
        <v>831.11</v>
      </c>
      <c r="Q558" s="34">
        <v>66.62</v>
      </c>
      <c r="R558" s="34">
        <v>1.92</v>
      </c>
      <c r="S558" s="34">
        <v>899.65</v>
      </c>
      <c r="T558" s="35">
        <v>7.824</v>
      </c>
      <c r="U558" s="35">
        <v>7.824</v>
      </c>
      <c r="V558" s="35">
        <v>11.27</v>
      </c>
      <c r="W558" s="35">
        <v>11.27</v>
      </c>
      <c r="X558" s="34">
        <v>899.65</v>
      </c>
      <c r="Y558" s="31"/>
      <c r="Z558" s="31"/>
      <c r="AA558" s="31"/>
      <c r="AB558" s="31"/>
    </row>
    <row r="559" customHeight="1" spans="2:28">
      <c r="B559" s="6" t="str">
        <f t="shared" si="8"/>
        <v>43115-DT1EJ20250101-A-JIEU8018198-PARTS</v>
      </c>
      <c r="C559" s="29" t="s">
        <v>80</v>
      </c>
      <c r="D559" s="30" t="s">
        <v>81</v>
      </c>
      <c r="E559" s="30" t="s">
        <v>465</v>
      </c>
      <c r="F559" s="30" t="s">
        <v>466</v>
      </c>
      <c r="G559" s="31" t="s">
        <v>84</v>
      </c>
      <c r="H559" s="31"/>
      <c r="I559" s="31" t="s">
        <v>85</v>
      </c>
      <c r="J559" s="31" t="s">
        <v>474</v>
      </c>
      <c r="K559" s="31" t="s">
        <v>90</v>
      </c>
      <c r="L559" s="31">
        <v>8708299009</v>
      </c>
      <c r="M559" s="32" t="s">
        <v>91</v>
      </c>
      <c r="N559" s="33" t="s">
        <v>92</v>
      </c>
      <c r="O559" s="31">
        <v>1</v>
      </c>
      <c r="P559" s="34">
        <v>20</v>
      </c>
      <c r="Q559" s="34">
        <v>1.6</v>
      </c>
      <c r="R559" s="34">
        <v>0.05</v>
      </c>
      <c r="S559" s="34">
        <v>21.65</v>
      </c>
      <c r="T559" s="35">
        <v>0.633</v>
      </c>
      <c r="U559" s="35">
        <v>0.633</v>
      </c>
      <c r="V559" s="35">
        <v>0.91</v>
      </c>
      <c r="W559" s="35">
        <v>0.91</v>
      </c>
      <c r="X559" s="34">
        <v>21.65</v>
      </c>
      <c r="Y559" s="31"/>
      <c r="Z559" s="31"/>
      <c r="AA559" s="31"/>
      <c r="AB559" s="31"/>
    </row>
    <row r="560" spans="2:28">
      <c r="B560" s="6" t="str">
        <f t="shared" si="8"/>
        <v>43115-DT1EJ20250101-A-JIEU8018198-PARTS</v>
      </c>
      <c r="C560" t="s">
        <v>80</v>
      </c>
      <c r="D560" t="s">
        <v>81</v>
      </c>
      <c r="E560" t="s">
        <v>465</v>
      </c>
      <c r="F560" t="s">
        <v>466</v>
      </c>
      <c r="G560" s="1" t="s">
        <v>84</v>
      </c>
      <c r="I560" s="1" t="s">
        <v>85</v>
      </c>
      <c r="J560" s="1" t="s">
        <v>474</v>
      </c>
      <c r="K560" s="1" t="s">
        <v>93</v>
      </c>
      <c r="L560">
        <v>8708299009</v>
      </c>
      <c r="M560" s="2" t="s">
        <v>94</v>
      </c>
      <c r="N560" s="3" t="s">
        <v>95</v>
      </c>
      <c r="O560" s="1">
        <v>1</v>
      </c>
      <c r="P560" s="4">
        <v>19.64</v>
      </c>
      <c r="Q560" s="4">
        <v>1.57</v>
      </c>
      <c r="R560" s="4">
        <v>0.05</v>
      </c>
      <c r="S560" s="4">
        <v>21.26</v>
      </c>
      <c r="T560" s="5">
        <v>0.622</v>
      </c>
      <c r="U560" s="5">
        <v>0.622</v>
      </c>
      <c r="V560" s="5">
        <v>0.9</v>
      </c>
      <c r="W560" s="5">
        <v>0.9</v>
      </c>
      <c r="X560" s="4">
        <v>21.26</v>
      </c>
    </row>
    <row r="561" spans="2:28">
      <c r="B561" s="6" t="str">
        <f t="shared" si="8"/>
        <v>43115-DT1EJ20250101-A-JIEU8018198-PARTS</v>
      </c>
      <c r="C561" t="s">
        <v>80</v>
      </c>
      <c r="D561" t="s">
        <v>81</v>
      </c>
      <c r="E561" t="s">
        <v>465</v>
      </c>
      <c r="F561" t="s">
        <v>466</v>
      </c>
      <c r="G561" s="1" t="s">
        <v>84</v>
      </c>
      <c r="I561" s="1" t="s">
        <v>85</v>
      </c>
      <c r="J561" s="1" t="s">
        <v>474</v>
      </c>
      <c r="K561" s="1" t="s">
        <v>87</v>
      </c>
      <c r="L561">
        <v>8708999709</v>
      </c>
      <c r="M561" s="2" t="s">
        <v>88</v>
      </c>
      <c r="N561" s="3" t="s">
        <v>89</v>
      </c>
      <c r="O561" s="1">
        <v>1</v>
      </c>
      <c r="P561" s="4">
        <v>831.11</v>
      </c>
      <c r="Q561" s="4">
        <v>66.62</v>
      </c>
      <c r="R561" s="4">
        <v>1.92</v>
      </c>
      <c r="S561" s="4">
        <v>899.65</v>
      </c>
      <c r="T561" s="5">
        <v>7.824</v>
      </c>
      <c r="U561" s="5">
        <v>7.824</v>
      </c>
      <c r="V561" s="5">
        <v>11.27</v>
      </c>
      <c r="W561" s="5">
        <v>11.27</v>
      </c>
      <c r="X561" s="4">
        <v>899.65</v>
      </c>
    </row>
    <row r="562" customHeight="1" spans="2:28">
      <c r="B562" s="6" t="str">
        <f t="shared" si="8"/>
        <v>43115-DT1EJ20250101-A-JIEU8018198-PARTS</v>
      </c>
      <c r="C562" s="29" t="s">
        <v>80</v>
      </c>
      <c r="D562" s="30" t="s">
        <v>81</v>
      </c>
      <c r="E562" s="30" t="s">
        <v>465</v>
      </c>
      <c r="F562" s="30" t="s">
        <v>466</v>
      </c>
      <c r="G562" s="31" t="s">
        <v>84</v>
      </c>
      <c r="H562" s="31"/>
      <c r="I562" s="31" t="s">
        <v>85</v>
      </c>
      <c r="J562" s="31" t="s">
        <v>474</v>
      </c>
      <c r="K562" s="31" t="s">
        <v>90</v>
      </c>
      <c r="L562" s="31">
        <v>8708299009</v>
      </c>
      <c r="M562" s="32" t="s">
        <v>91</v>
      </c>
      <c r="N562" s="33" t="s">
        <v>92</v>
      </c>
      <c r="O562" s="31">
        <v>1</v>
      </c>
      <c r="P562" s="34">
        <v>20</v>
      </c>
      <c r="Q562" s="34">
        <v>1.6</v>
      </c>
      <c r="R562" s="34">
        <v>0.05</v>
      </c>
      <c r="S562" s="34">
        <v>21.65</v>
      </c>
      <c r="T562" s="35">
        <v>0.633</v>
      </c>
      <c r="U562" s="35">
        <v>0.633</v>
      </c>
      <c r="V562" s="35">
        <v>0.91</v>
      </c>
      <c r="W562" s="35">
        <v>0.91</v>
      </c>
      <c r="X562" s="34">
        <v>21.65</v>
      </c>
      <c r="Y562" s="31"/>
      <c r="Z562" s="31"/>
      <c r="AA562" s="31"/>
      <c r="AB562" s="31"/>
    </row>
    <row r="563" customHeight="1" spans="2:28">
      <c r="B563" s="6" t="str">
        <f t="shared" si="8"/>
        <v>43115-DT1EJ20250101-A-JIEU8018198-PARTS</v>
      </c>
      <c r="C563" s="29" t="s">
        <v>80</v>
      </c>
      <c r="D563" s="30" t="s">
        <v>81</v>
      </c>
      <c r="E563" s="30" t="s">
        <v>465</v>
      </c>
      <c r="F563" s="30" t="s">
        <v>466</v>
      </c>
      <c r="G563" s="31" t="s">
        <v>84</v>
      </c>
      <c r="H563" s="31"/>
      <c r="I563" s="31" t="s">
        <v>85</v>
      </c>
      <c r="J563" s="31" t="s">
        <v>474</v>
      </c>
      <c r="K563" s="31" t="s">
        <v>93</v>
      </c>
      <c r="L563" s="31">
        <v>8708299009</v>
      </c>
      <c r="M563" s="32" t="s">
        <v>94</v>
      </c>
      <c r="N563" s="33" t="s">
        <v>95</v>
      </c>
      <c r="O563" s="31">
        <v>1</v>
      </c>
      <c r="P563" s="34">
        <v>19.64</v>
      </c>
      <c r="Q563" s="34">
        <v>1.57</v>
      </c>
      <c r="R563" s="34">
        <v>0.05</v>
      </c>
      <c r="S563" s="34">
        <v>21.26</v>
      </c>
      <c r="T563" s="35">
        <v>0.622</v>
      </c>
      <c r="U563" s="35">
        <v>0.622</v>
      </c>
      <c r="V563" s="35">
        <v>0.9</v>
      </c>
      <c r="W563" s="35">
        <v>0.9</v>
      </c>
      <c r="X563" s="34">
        <v>21.26</v>
      </c>
      <c r="Y563" s="31"/>
      <c r="Z563" s="31"/>
      <c r="AA563" s="31"/>
      <c r="AB563" s="31"/>
    </row>
    <row r="564" customHeight="1" spans="2:28">
      <c r="B564" s="6" t="str">
        <f t="shared" si="8"/>
        <v>43115-DT1EJ20250101-A-JIEU8018198-PARTS</v>
      </c>
      <c r="C564" s="29" t="s">
        <v>80</v>
      </c>
      <c r="D564" s="30" t="s">
        <v>81</v>
      </c>
      <c r="E564" s="30" t="s">
        <v>465</v>
      </c>
      <c r="F564" s="30" t="s">
        <v>466</v>
      </c>
      <c r="G564" s="31" t="s">
        <v>84</v>
      </c>
      <c r="H564" s="31"/>
      <c r="I564" s="31" t="s">
        <v>85</v>
      </c>
      <c r="J564" s="31" t="s">
        <v>474</v>
      </c>
      <c r="K564" s="31" t="s">
        <v>87</v>
      </c>
      <c r="L564" s="31">
        <v>8708999709</v>
      </c>
      <c r="M564" s="32" t="s">
        <v>88</v>
      </c>
      <c r="N564" s="33" t="s">
        <v>89</v>
      </c>
      <c r="O564" s="31">
        <v>1</v>
      </c>
      <c r="P564" s="34">
        <v>831.11</v>
      </c>
      <c r="Q564" s="34">
        <v>66.62</v>
      </c>
      <c r="R564" s="34">
        <v>1.92</v>
      </c>
      <c r="S564" s="34">
        <v>899.65</v>
      </c>
      <c r="T564" s="35">
        <v>7.824</v>
      </c>
      <c r="U564" s="35">
        <v>7.824</v>
      </c>
      <c r="V564" s="35">
        <v>11.27</v>
      </c>
      <c r="W564" s="35">
        <v>11.27</v>
      </c>
      <c r="X564" s="34">
        <v>899.65</v>
      </c>
      <c r="Y564" s="31"/>
      <c r="Z564" s="31"/>
      <c r="AA564" s="31"/>
      <c r="AB564" s="31"/>
    </row>
    <row r="565" customHeight="1" spans="2:28">
      <c r="B565" s="6" t="str">
        <f t="shared" si="8"/>
        <v>43115-DT1EJ20250101-A-JIEU8018198-PARTS</v>
      </c>
      <c r="C565" s="29" t="s">
        <v>80</v>
      </c>
      <c r="D565" s="30" t="s">
        <v>81</v>
      </c>
      <c r="E565" s="30" t="s">
        <v>465</v>
      </c>
      <c r="F565" s="30" t="s">
        <v>466</v>
      </c>
      <c r="G565" s="31" t="s">
        <v>84</v>
      </c>
      <c r="H565" s="31"/>
      <c r="I565" s="31" t="s">
        <v>85</v>
      </c>
      <c r="J565" s="31" t="s">
        <v>474</v>
      </c>
      <c r="K565" s="31" t="s">
        <v>90</v>
      </c>
      <c r="L565" s="31">
        <v>8708299009</v>
      </c>
      <c r="M565" s="32" t="s">
        <v>91</v>
      </c>
      <c r="N565" s="33" t="s">
        <v>92</v>
      </c>
      <c r="O565" s="31">
        <v>1</v>
      </c>
      <c r="P565" s="34">
        <v>20</v>
      </c>
      <c r="Q565" s="34">
        <v>1.6</v>
      </c>
      <c r="R565" s="34">
        <v>0.05</v>
      </c>
      <c r="S565" s="34">
        <v>21.65</v>
      </c>
      <c r="T565" s="35">
        <v>0.633</v>
      </c>
      <c r="U565" s="35">
        <v>0.633</v>
      </c>
      <c r="V565" s="35">
        <v>0.91</v>
      </c>
      <c r="W565" s="35">
        <v>0.91</v>
      </c>
      <c r="X565" s="34">
        <v>21.65</v>
      </c>
      <c r="Y565" s="31"/>
      <c r="Z565" s="31"/>
      <c r="AA565" s="31"/>
      <c r="AB565" s="31"/>
    </row>
    <row r="566" customHeight="1" spans="2:28">
      <c r="B566" s="6" t="str">
        <f t="shared" si="8"/>
        <v>43115-DT1EJ20250101-A-JIEU8018198-PARTS</v>
      </c>
      <c r="C566" s="29" t="s">
        <v>80</v>
      </c>
      <c r="D566" s="30" t="s">
        <v>81</v>
      </c>
      <c r="E566" s="30" t="s">
        <v>465</v>
      </c>
      <c r="F566" s="30" t="s">
        <v>466</v>
      </c>
      <c r="G566" s="31" t="s">
        <v>84</v>
      </c>
      <c r="H566" s="31"/>
      <c r="I566" s="31" t="s">
        <v>85</v>
      </c>
      <c r="J566" s="31" t="s">
        <v>474</v>
      </c>
      <c r="K566" s="31" t="s">
        <v>93</v>
      </c>
      <c r="L566" s="31">
        <v>8708299009</v>
      </c>
      <c r="M566" s="32" t="s">
        <v>94</v>
      </c>
      <c r="N566" s="33" t="s">
        <v>95</v>
      </c>
      <c r="O566" s="31">
        <v>1</v>
      </c>
      <c r="P566" s="34">
        <v>19.64</v>
      </c>
      <c r="Q566" s="34">
        <v>1.57</v>
      </c>
      <c r="R566" s="34">
        <v>0.05</v>
      </c>
      <c r="S566" s="34">
        <v>21.26</v>
      </c>
      <c r="T566" s="35">
        <v>0.622</v>
      </c>
      <c r="U566" s="35">
        <v>0.622</v>
      </c>
      <c r="V566" s="35">
        <v>0.9</v>
      </c>
      <c r="W566" s="35">
        <v>0.9</v>
      </c>
      <c r="X566" s="34">
        <v>21.26</v>
      </c>
      <c r="Y566" s="31"/>
      <c r="Z566" s="31"/>
      <c r="AA566" s="31"/>
      <c r="AB566" s="31"/>
    </row>
    <row r="567" customHeight="1" spans="2:28">
      <c r="B567" s="6" t="str">
        <f t="shared" si="8"/>
        <v>43115-DT1EJ20250101-A-JIEU8018198-PARTS</v>
      </c>
      <c r="C567" s="29" t="s">
        <v>80</v>
      </c>
      <c r="D567" s="30" t="s">
        <v>81</v>
      </c>
      <c r="E567" s="30" t="s">
        <v>465</v>
      </c>
      <c r="F567" s="30" t="s">
        <v>466</v>
      </c>
      <c r="G567" s="31" t="s">
        <v>84</v>
      </c>
      <c r="H567" s="31"/>
      <c r="I567" s="31" t="s">
        <v>85</v>
      </c>
      <c r="J567" s="31" t="s">
        <v>474</v>
      </c>
      <c r="K567" s="31" t="s">
        <v>87</v>
      </c>
      <c r="L567" s="31">
        <v>8708999709</v>
      </c>
      <c r="M567" s="32" t="s">
        <v>88</v>
      </c>
      <c r="N567" s="33" t="s">
        <v>89</v>
      </c>
      <c r="O567" s="31">
        <v>1</v>
      </c>
      <c r="P567" s="34">
        <v>831.11</v>
      </c>
      <c r="Q567" s="34">
        <v>66.62</v>
      </c>
      <c r="R567" s="34">
        <v>1.92</v>
      </c>
      <c r="S567" s="34">
        <v>899.65</v>
      </c>
      <c r="T567" s="35">
        <v>7.824</v>
      </c>
      <c r="U567" s="35">
        <v>7.824</v>
      </c>
      <c r="V567" s="35">
        <v>11.27</v>
      </c>
      <c r="W567" s="35">
        <v>11.27</v>
      </c>
      <c r="X567" s="34">
        <v>899.65</v>
      </c>
      <c r="Y567" s="31"/>
      <c r="Z567" s="31"/>
      <c r="AA567" s="31"/>
      <c r="AB567" s="31"/>
    </row>
    <row r="568" customHeight="1" spans="2:28">
      <c r="B568" s="6" t="str">
        <f t="shared" si="8"/>
        <v>43115-DT1EJ20250101-A-JIEU8018198-PARTS</v>
      </c>
      <c r="C568" s="29" t="s">
        <v>80</v>
      </c>
      <c r="D568" s="30" t="s">
        <v>81</v>
      </c>
      <c r="E568" s="30" t="s">
        <v>465</v>
      </c>
      <c r="F568" s="30" t="s">
        <v>466</v>
      </c>
      <c r="G568" s="31" t="s">
        <v>84</v>
      </c>
      <c r="H568" s="31"/>
      <c r="I568" s="31" t="s">
        <v>85</v>
      </c>
      <c r="J568" s="31" t="s">
        <v>474</v>
      </c>
      <c r="K568" s="31" t="s">
        <v>90</v>
      </c>
      <c r="L568" s="31">
        <v>8708299009</v>
      </c>
      <c r="M568" s="32" t="s">
        <v>91</v>
      </c>
      <c r="N568" s="33" t="s">
        <v>92</v>
      </c>
      <c r="O568" s="31">
        <v>1</v>
      </c>
      <c r="P568" s="34">
        <v>20</v>
      </c>
      <c r="Q568" s="34">
        <v>1.6</v>
      </c>
      <c r="R568" s="34">
        <v>0.05</v>
      </c>
      <c r="S568" s="34">
        <v>21.65</v>
      </c>
      <c r="T568" s="35">
        <v>0.633</v>
      </c>
      <c r="U568" s="35">
        <v>0.633</v>
      </c>
      <c r="V568" s="35">
        <v>0.91</v>
      </c>
      <c r="W568" s="35">
        <v>0.91</v>
      </c>
      <c r="X568" s="34">
        <v>21.65</v>
      </c>
      <c r="Y568" s="31"/>
      <c r="Z568" s="31"/>
      <c r="AA568" s="31"/>
      <c r="AB568" s="31"/>
    </row>
    <row r="569" customHeight="1" spans="2:28">
      <c r="B569" s="6" t="str">
        <f t="shared" si="8"/>
        <v>43115-DT1EJ20250101-A-JIEU8018198-PARTS</v>
      </c>
      <c r="C569" s="29" t="s">
        <v>80</v>
      </c>
      <c r="D569" s="30" t="s">
        <v>81</v>
      </c>
      <c r="E569" s="30" t="s">
        <v>465</v>
      </c>
      <c r="F569" s="30" t="s">
        <v>466</v>
      </c>
      <c r="G569" s="31" t="s">
        <v>84</v>
      </c>
      <c r="H569" s="31"/>
      <c r="I569" s="31" t="s">
        <v>85</v>
      </c>
      <c r="J569" s="31" t="s">
        <v>474</v>
      </c>
      <c r="K569" s="31" t="s">
        <v>93</v>
      </c>
      <c r="L569" s="31">
        <v>8708299009</v>
      </c>
      <c r="M569" s="32" t="s">
        <v>94</v>
      </c>
      <c r="N569" s="33" t="s">
        <v>95</v>
      </c>
      <c r="O569" s="31">
        <v>1</v>
      </c>
      <c r="P569" s="34">
        <v>19.64</v>
      </c>
      <c r="Q569" s="34">
        <v>1.57</v>
      </c>
      <c r="R569" s="34">
        <v>0.05</v>
      </c>
      <c r="S569" s="34">
        <v>21.26</v>
      </c>
      <c r="T569" s="35">
        <v>0.622</v>
      </c>
      <c r="U569" s="35">
        <v>0.622</v>
      </c>
      <c r="V569" s="35">
        <v>0.9</v>
      </c>
      <c r="W569" s="35">
        <v>0.9</v>
      </c>
      <c r="X569" s="34">
        <v>21.26</v>
      </c>
      <c r="Y569" s="31"/>
      <c r="Z569" s="31"/>
      <c r="AA569" s="31"/>
      <c r="AB569" s="31"/>
    </row>
    <row r="570" customHeight="1" spans="2:28">
      <c r="B570" s="6" t="str">
        <f t="shared" si="8"/>
        <v>43115-DT1EJ20250101-A-JIEU8018198-PARTS</v>
      </c>
      <c r="C570" s="29" t="s">
        <v>80</v>
      </c>
      <c r="D570" s="30" t="s">
        <v>81</v>
      </c>
      <c r="E570" s="30" t="s">
        <v>465</v>
      </c>
      <c r="F570" s="30" t="s">
        <v>466</v>
      </c>
      <c r="G570" s="31" t="s">
        <v>84</v>
      </c>
      <c r="H570" s="31"/>
      <c r="I570" s="31" t="s">
        <v>85</v>
      </c>
      <c r="J570" s="31" t="s">
        <v>474</v>
      </c>
      <c r="K570" s="31" t="s">
        <v>87</v>
      </c>
      <c r="L570" s="31">
        <v>8708999709</v>
      </c>
      <c r="M570" s="32" t="s">
        <v>88</v>
      </c>
      <c r="N570" s="33" t="s">
        <v>89</v>
      </c>
      <c r="O570" s="31">
        <v>1</v>
      </c>
      <c r="P570" s="34">
        <v>831.11</v>
      </c>
      <c r="Q570" s="34">
        <v>66.62</v>
      </c>
      <c r="R570" s="34">
        <v>1.92</v>
      </c>
      <c r="S570" s="34">
        <v>899.65</v>
      </c>
      <c r="T570" s="35">
        <v>7.824</v>
      </c>
      <c r="U570" s="35">
        <v>7.824</v>
      </c>
      <c r="V570" s="35">
        <v>11.27</v>
      </c>
      <c r="W570" s="35">
        <v>11.27</v>
      </c>
      <c r="X570" s="34">
        <v>899.65</v>
      </c>
      <c r="Y570" s="31"/>
      <c r="Z570" s="31"/>
      <c r="AA570" s="31"/>
      <c r="AB570" s="31"/>
    </row>
    <row r="571" customHeight="1" spans="2:28">
      <c r="B571" s="6" t="str">
        <f t="shared" si="8"/>
        <v>43115-DT1EJ20250101-A-JIEU8018198-PARTS</v>
      </c>
      <c r="C571" s="29" t="s">
        <v>80</v>
      </c>
      <c r="D571" s="30" t="s">
        <v>81</v>
      </c>
      <c r="E571" s="30" t="s">
        <v>465</v>
      </c>
      <c r="F571" s="30" t="s">
        <v>466</v>
      </c>
      <c r="G571" s="31" t="s">
        <v>84</v>
      </c>
      <c r="H571" s="31"/>
      <c r="I571" s="31" t="s">
        <v>85</v>
      </c>
      <c r="J571" s="31" t="s">
        <v>474</v>
      </c>
      <c r="K571" s="31" t="s">
        <v>90</v>
      </c>
      <c r="L571" s="31">
        <v>8708299009</v>
      </c>
      <c r="M571" s="32" t="s">
        <v>91</v>
      </c>
      <c r="N571" s="33" t="s">
        <v>92</v>
      </c>
      <c r="O571" s="31">
        <v>1</v>
      </c>
      <c r="P571" s="34">
        <v>20</v>
      </c>
      <c r="Q571" s="34">
        <v>1.6</v>
      </c>
      <c r="R571" s="34">
        <v>0.05</v>
      </c>
      <c r="S571" s="34">
        <v>21.65</v>
      </c>
      <c r="T571" s="35">
        <v>0.633</v>
      </c>
      <c r="U571" s="35">
        <v>0.633</v>
      </c>
      <c r="V571" s="35">
        <v>0.91</v>
      </c>
      <c r="W571" s="35">
        <v>0.91</v>
      </c>
      <c r="X571" s="34">
        <v>21.65</v>
      </c>
      <c r="Y571" s="31"/>
      <c r="Z571" s="31"/>
      <c r="AA571" s="31"/>
      <c r="AB571" s="31"/>
    </row>
    <row r="572" customHeight="1" spans="2:28">
      <c r="B572" s="6" t="str">
        <f t="shared" si="8"/>
        <v>43115-DT1EJ20250101-A-JIEU8018198-PARTS</v>
      </c>
      <c r="C572" s="29" t="s">
        <v>80</v>
      </c>
      <c r="D572" s="30" t="s">
        <v>81</v>
      </c>
      <c r="E572" s="30" t="s">
        <v>465</v>
      </c>
      <c r="F572" s="30" t="s">
        <v>466</v>
      </c>
      <c r="G572" s="31" t="s">
        <v>84</v>
      </c>
      <c r="H572" s="31"/>
      <c r="I572" s="31" t="s">
        <v>85</v>
      </c>
      <c r="J572" s="31" t="s">
        <v>474</v>
      </c>
      <c r="K572" s="31" t="s">
        <v>93</v>
      </c>
      <c r="L572" s="31">
        <v>8708299009</v>
      </c>
      <c r="M572" s="32" t="s">
        <v>94</v>
      </c>
      <c r="N572" s="33" t="s">
        <v>95</v>
      </c>
      <c r="O572" s="31">
        <v>1</v>
      </c>
      <c r="P572" s="34">
        <v>19.64</v>
      </c>
      <c r="Q572" s="34">
        <v>1.57</v>
      </c>
      <c r="R572" s="34">
        <v>0.05</v>
      </c>
      <c r="S572" s="34">
        <v>21.26</v>
      </c>
      <c r="T572" s="35">
        <v>0.622</v>
      </c>
      <c r="U572" s="35">
        <v>0.622</v>
      </c>
      <c r="V572" s="35">
        <v>0.9</v>
      </c>
      <c r="W572" s="35">
        <v>0.9</v>
      </c>
      <c r="X572" s="34">
        <v>21.26</v>
      </c>
      <c r="Y572" s="31"/>
      <c r="Z572" s="31"/>
      <c r="AA572" s="31"/>
      <c r="AB572" s="31"/>
    </row>
    <row r="573" customHeight="1" spans="2:28">
      <c r="B573" s="6" t="str">
        <f t="shared" si="8"/>
        <v>43115-DT1EJ20250101-A-JIEU8018198-PARTS</v>
      </c>
      <c r="C573" s="29" t="s">
        <v>80</v>
      </c>
      <c r="D573" s="30" t="s">
        <v>81</v>
      </c>
      <c r="E573" s="30" t="s">
        <v>465</v>
      </c>
      <c r="F573" s="30" t="s">
        <v>466</v>
      </c>
      <c r="G573" s="31" t="s">
        <v>84</v>
      </c>
      <c r="H573" s="31"/>
      <c r="I573" s="31" t="s">
        <v>85</v>
      </c>
      <c r="J573" s="31" t="s">
        <v>474</v>
      </c>
      <c r="K573" s="31" t="s">
        <v>87</v>
      </c>
      <c r="L573" s="31">
        <v>8708999709</v>
      </c>
      <c r="M573" s="32" t="s">
        <v>88</v>
      </c>
      <c r="N573" s="33" t="s">
        <v>89</v>
      </c>
      <c r="O573" s="31">
        <v>1</v>
      </c>
      <c r="P573" s="34">
        <v>831.11</v>
      </c>
      <c r="Q573" s="34">
        <v>66.62</v>
      </c>
      <c r="R573" s="34">
        <v>1.92</v>
      </c>
      <c r="S573" s="34">
        <v>899.65</v>
      </c>
      <c r="T573" s="35">
        <v>7.824</v>
      </c>
      <c r="U573" s="35">
        <v>7.824</v>
      </c>
      <c r="V573" s="35">
        <v>11.27</v>
      </c>
      <c r="W573" s="35">
        <v>11.27</v>
      </c>
      <c r="X573" s="34">
        <v>899.65</v>
      </c>
      <c r="Y573" s="31"/>
      <c r="Z573" s="31"/>
      <c r="AA573" s="31"/>
      <c r="AB573" s="31"/>
    </row>
    <row r="574" spans="2:28">
      <c r="B574" s="6" t="str">
        <f t="shared" si="8"/>
        <v>43115-DT1EJ20250101-A-JIEU8018198-PARTS</v>
      </c>
      <c r="C574" t="s">
        <v>80</v>
      </c>
      <c r="D574" t="s">
        <v>81</v>
      </c>
      <c r="E574" t="s">
        <v>465</v>
      </c>
      <c r="F574" t="s">
        <v>466</v>
      </c>
      <c r="G574" s="1" t="s">
        <v>84</v>
      </c>
      <c r="I574" s="1" t="s">
        <v>85</v>
      </c>
      <c r="J574" s="1" t="s">
        <v>474</v>
      </c>
      <c r="K574" s="1" t="s">
        <v>90</v>
      </c>
      <c r="L574">
        <v>8708299009</v>
      </c>
      <c r="M574" s="2" t="s">
        <v>91</v>
      </c>
      <c r="N574" s="3" t="s">
        <v>92</v>
      </c>
      <c r="O574" s="1">
        <v>1</v>
      </c>
      <c r="P574" s="4">
        <v>20</v>
      </c>
      <c r="Q574" s="4">
        <v>1.6</v>
      </c>
      <c r="R574" s="4">
        <v>0.05</v>
      </c>
      <c r="S574" s="4">
        <v>21.65</v>
      </c>
      <c r="T574" s="5">
        <v>0.633</v>
      </c>
      <c r="U574" s="5">
        <v>0.633</v>
      </c>
      <c r="V574" s="5">
        <v>0.91</v>
      </c>
      <c r="W574" s="5">
        <v>0.91</v>
      </c>
      <c r="X574" s="4">
        <v>21.65</v>
      </c>
    </row>
    <row r="575" spans="2:28">
      <c r="B575" s="6" t="str">
        <f t="shared" si="8"/>
        <v>43115-DT1EJ20250101-A-JIEU8018198-PARTS</v>
      </c>
      <c r="C575" t="s">
        <v>80</v>
      </c>
      <c r="D575" t="s">
        <v>81</v>
      </c>
      <c r="E575" t="s">
        <v>465</v>
      </c>
      <c r="F575" t="s">
        <v>466</v>
      </c>
      <c r="G575" s="1" t="s">
        <v>84</v>
      </c>
      <c r="I575" s="1" t="s">
        <v>85</v>
      </c>
      <c r="J575" s="1" t="s">
        <v>474</v>
      </c>
      <c r="K575" s="1" t="s">
        <v>93</v>
      </c>
      <c r="L575">
        <v>8708299009</v>
      </c>
      <c r="M575" s="2" t="s">
        <v>94</v>
      </c>
      <c r="N575" s="3" t="s">
        <v>95</v>
      </c>
      <c r="O575" s="1">
        <v>1</v>
      </c>
      <c r="P575" s="4">
        <v>19.64</v>
      </c>
      <c r="Q575" s="4">
        <v>1.57</v>
      </c>
      <c r="R575" s="4">
        <v>0.05</v>
      </c>
      <c r="S575" s="4">
        <v>21.26</v>
      </c>
      <c r="T575" s="5">
        <v>0.622</v>
      </c>
      <c r="U575" s="5">
        <v>0.622</v>
      </c>
      <c r="V575" s="5">
        <v>0.9</v>
      </c>
      <c r="W575" s="5">
        <v>0.9</v>
      </c>
      <c r="X575" s="4">
        <v>21.26</v>
      </c>
    </row>
    <row r="576" spans="2:28">
      <c r="B576" s="6" t="str">
        <f t="shared" si="8"/>
        <v>43115-DT1EJ20250101-A-JIEU8018198-PARTS</v>
      </c>
      <c r="C576" t="s">
        <v>80</v>
      </c>
      <c r="D576" t="s">
        <v>81</v>
      </c>
      <c r="E576" t="s">
        <v>465</v>
      </c>
      <c r="F576" t="s">
        <v>466</v>
      </c>
      <c r="G576" s="1" t="s">
        <v>84</v>
      </c>
      <c r="I576" s="1" t="s">
        <v>85</v>
      </c>
      <c r="J576" s="1" t="s">
        <v>474</v>
      </c>
      <c r="K576" s="1" t="s">
        <v>87</v>
      </c>
      <c r="L576">
        <v>8708999709</v>
      </c>
      <c r="M576" s="2" t="s">
        <v>88</v>
      </c>
      <c r="N576" s="3" t="s">
        <v>89</v>
      </c>
      <c r="O576" s="1">
        <v>1</v>
      </c>
      <c r="P576" s="4">
        <v>831.11</v>
      </c>
      <c r="Q576" s="4">
        <v>66.62</v>
      </c>
      <c r="R576" s="4">
        <v>1.92</v>
      </c>
      <c r="S576" s="4">
        <v>899.65</v>
      </c>
      <c r="T576" s="5">
        <v>7.824</v>
      </c>
      <c r="U576" s="5">
        <v>7.824</v>
      </c>
      <c r="V576" s="5">
        <v>11.27</v>
      </c>
      <c r="W576" s="5">
        <v>11.27</v>
      </c>
      <c r="X576" s="4">
        <v>899.65</v>
      </c>
    </row>
    <row r="577" spans="2:28">
      <c r="B577" s="6" t="str">
        <f t="shared" si="8"/>
        <v>43115-DT1EJ20250101-A-JIEU8018198-PARTS</v>
      </c>
      <c r="C577" t="s">
        <v>80</v>
      </c>
      <c r="D577" t="s">
        <v>81</v>
      </c>
      <c r="E577" t="s">
        <v>465</v>
      </c>
      <c r="F577" t="s">
        <v>466</v>
      </c>
      <c r="G577" s="1" t="s">
        <v>84</v>
      </c>
      <c r="I577" s="1" t="s">
        <v>85</v>
      </c>
      <c r="J577" s="1" t="s">
        <v>474</v>
      </c>
      <c r="K577" s="1" t="s">
        <v>90</v>
      </c>
      <c r="L577">
        <v>8708299009</v>
      </c>
      <c r="M577" s="2" t="s">
        <v>91</v>
      </c>
      <c r="N577" s="3" t="s">
        <v>92</v>
      </c>
      <c r="O577" s="1">
        <v>1</v>
      </c>
      <c r="P577" s="4">
        <v>20</v>
      </c>
      <c r="Q577" s="4">
        <v>1.6</v>
      </c>
      <c r="R577" s="4">
        <v>0.05</v>
      </c>
      <c r="S577" s="4">
        <v>21.65</v>
      </c>
      <c r="T577" s="5">
        <v>0.633</v>
      </c>
      <c r="U577" s="5">
        <v>0.633</v>
      </c>
      <c r="V577" s="5">
        <v>0.91</v>
      </c>
      <c r="W577" s="5">
        <v>0.91</v>
      </c>
      <c r="X577" s="4">
        <v>21.65</v>
      </c>
    </row>
    <row r="578" spans="2:28">
      <c r="B578" s="6" t="str">
        <f t="shared" ref="B578:B641" si="9">CONCATENATE(C578,"-",E578,"-",G578)</f>
        <v>43115-DT1EJ20250101-A-JIEU8018198-PARTS</v>
      </c>
      <c r="C578" t="s">
        <v>80</v>
      </c>
      <c r="D578" t="s">
        <v>81</v>
      </c>
      <c r="E578" t="s">
        <v>465</v>
      </c>
      <c r="F578" t="s">
        <v>466</v>
      </c>
      <c r="G578" s="1" t="s">
        <v>84</v>
      </c>
      <c r="I578" s="1" t="s">
        <v>85</v>
      </c>
      <c r="J578" s="1" t="s">
        <v>474</v>
      </c>
      <c r="K578" s="1" t="s">
        <v>93</v>
      </c>
      <c r="L578">
        <v>8708299009</v>
      </c>
      <c r="M578" s="2" t="s">
        <v>94</v>
      </c>
      <c r="N578" s="3" t="s">
        <v>95</v>
      </c>
      <c r="O578" s="1">
        <v>1</v>
      </c>
      <c r="P578" s="4">
        <v>19.64</v>
      </c>
      <c r="Q578" s="4">
        <v>1.57</v>
      </c>
      <c r="R578" s="4">
        <v>0.05</v>
      </c>
      <c r="S578" s="4">
        <v>21.26</v>
      </c>
      <c r="T578" s="5">
        <v>0.622</v>
      </c>
      <c r="U578" s="5">
        <v>0.622</v>
      </c>
      <c r="V578" s="5">
        <v>0.9</v>
      </c>
      <c r="W578" s="5">
        <v>0.9</v>
      </c>
      <c r="X578" s="4">
        <v>21.26</v>
      </c>
    </row>
    <row r="579" spans="2:28">
      <c r="B579" s="6" t="str">
        <f t="shared" si="9"/>
        <v>43115-DT1EJ20250101-A-JIEU8018198-PARTS</v>
      </c>
      <c r="C579" t="s">
        <v>80</v>
      </c>
      <c r="D579" t="s">
        <v>81</v>
      </c>
      <c r="E579" t="s">
        <v>465</v>
      </c>
      <c r="F579" t="s">
        <v>466</v>
      </c>
      <c r="G579" s="1" t="s">
        <v>84</v>
      </c>
      <c r="I579" s="1" t="s">
        <v>85</v>
      </c>
      <c r="J579" s="1" t="s">
        <v>474</v>
      </c>
      <c r="K579" s="1" t="s">
        <v>87</v>
      </c>
      <c r="L579">
        <v>8708999709</v>
      </c>
      <c r="M579" s="2" t="s">
        <v>88</v>
      </c>
      <c r="N579" s="3" t="s">
        <v>89</v>
      </c>
      <c r="O579" s="1">
        <v>1</v>
      </c>
      <c r="P579" s="4">
        <v>831.11</v>
      </c>
      <c r="Q579" s="4">
        <v>66.62</v>
      </c>
      <c r="R579" s="4">
        <v>1.92</v>
      </c>
      <c r="S579" s="4">
        <v>899.65</v>
      </c>
      <c r="T579" s="5">
        <v>7.824</v>
      </c>
      <c r="U579" s="5">
        <v>7.824</v>
      </c>
      <c r="V579" s="5">
        <v>11.27</v>
      </c>
      <c r="W579" s="5">
        <v>11.27</v>
      </c>
      <c r="X579" s="4">
        <v>899.65</v>
      </c>
    </row>
    <row r="580" spans="2:28">
      <c r="B580" s="6" t="str">
        <f t="shared" si="9"/>
        <v>43115-DT1EJ20250101-A-JIEU8018198-PARTS</v>
      </c>
      <c r="C580" t="s">
        <v>80</v>
      </c>
      <c r="D580" t="s">
        <v>81</v>
      </c>
      <c r="E580" t="s">
        <v>465</v>
      </c>
      <c r="F580" t="s">
        <v>466</v>
      </c>
      <c r="G580" s="1" t="s">
        <v>84</v>
      </c>
      <c r="I580" s="1" t="s">
        <v>85</v>
      </c>
      <c r="J580" s="1" t="s">
        <v>474</v>
      </c>
      <c r="K580" s="1" t="s">
        <v>90</v>
      </c>
      <c r="L580">
        <v>8708299009</v>
      </c>
      <c r="M580" s="2" t="s">
        <v>91</v>
      </c>
      <c r="N580" s="3" t="s">
        <v>92</v>
      </c>
      <c r="O580" s="1">
        <v>1</v>
      </c>
      <c r="P580" s="4">
        <v>20</v>
      </c>
      <c r="Q580" s="4">
        <v>1.6</v>
      </c>
      <c r="R580" s="4">
        <v>0.05</v>
      </c>
      <c r="S580" s="4">
        <v>21.65</v>
      </c>
      <c r="T580" s="5">
        <v>0.633</v>
      </c>
      <c r="U580" s="5">
        <v>0.633</v>
      </c>
      <c r="V580" s="5">
        <v>0.91</v>
      </c>
      <c r="W580" s="5">
        <v>0.91</v>
      </c>
      <c r="X580" s="4">
        <v>21.65</v>
      </c>
    </row>
    <row r="581" spans="2:28">
      <c r="B581" s="6" t="str">
        <f t="shared" si="9"/>
        <v>43115-DT1EJ20250101-A-JIEU8018198-PARTS</v>
      </c>
      <c r="C581" t="s">
        <v>80</v>
      </c>
      <c r="D581" t="s">
        <v>81</v>
      </c>
      <c r="E581" t="s">
        <v>465</v>
      </c>
      <c r="F581" t="s">
        <v>466</v>
      </c>
      <c r="G581" s="1" t="s">
        <v>84</v>
      </c>
      <c r="I581" s="1" t="s">
        <v>85</v>
      </c>
      <c r="J581" s="1" t="s">
        <v>474</v>
      </c>
      <c r="K581" s="1" t="s">
        <v>93</v>
      </c>
      <c r="L581">
        <v>8708299009</v>
      </c>
      <c r="M581" s="2" t="s">
        <v>94</v>
      </c>
      <c r="N581" s="3" t="s">
        <v>95</v>
      </c>
      <c r="O581" s="1">
        <v>1</v>
      </c>
      <c r="P581" s="4">
        <v>19.64</v>
      </c>
      <c r="Q581" s="4">
        <v>1.57</v>
      </c>
      <c r="R581" s="4">
        <v>0.05</v>
      </c>
      <c r="S581" s="4">
        <v>21.26</v>
      </c>
      <c r="T581" s="5">
        <v>0.622</v>
      </c>
      <c r="U581" s="5">
        <v>0.622</v>
      </c>
      <c r="V581" s="5">
        <v>0.9</v>
      </c>
      <c r="W581" s="5">
        <v>0.9</v>
      </c>
      <c r="X581" s="4">
        <v>21.26</v>
      </c>
    </row>
    <row r="582" customHeight="1" spans="2:28">
      <c r="B582" s="6" t="str">
        <f t="shared" si="9"/>
        <v>43115-DT1EJ20250101-A-JIEU8018198-PARTS</v>
      </c>
      <c r="C582" s="29" t="s">
        <v>80</v>
      </c>
      <c r="D582" s="30" t="s">
        <v>81</v>
      </c>
      <c r="E582" s="30" t="s">
        <v>465</v>
      </c>
      <c r="F582" s="30" t="s">
        <v>466</v>
      </c>
      <c r="G582" s="31" t="s">
        <v>84</v>
      </c>
      <c r="H582" s="31"/>
      <c r="I582" s="31" t="s">
        <v>85</v>
      </c>
      <c r="J582" s="31" t="s">
        <v>474</v>
      </c>
      <c r="K582" s="31" t="s">
        <v>87</v>
      </c>
      <c r="L582" s="31">
        <v>8708999709</v>
      </c>
      <c r="M582" s="32" t="s">
        <v>88</v>
      </c>
      <c r="N582" s="33" t="s">
        <v>89</v>
      </c>
      <c r="O582" s="31">
        <v>1</v>
      </c>
      <c r="P582" s="34">
        <v>831.11</v>
      </c>
      <c r="Q582" s="34">
        <v>66.62</v>
      </c>
      <c r="R582" s="34">
        <v>1.92</v>
      </c>
      <c r="S582" s="34">
        <v>899.65</v>
      </c>
      <c r="T582" s="35">
        <v>7.824</v>
      </c>
      <c r="U582" s="35">
        <v>7.824</v>
      </c>
      <c r="V582" s="35">
        <v>11.27</v>
      </c>
      <c r="W582" s="35">
        <v>11.27</v>
      </c>
      <c r="X582" s="34">
        <v>899.65</v>
      </c>
      <c r="Y582" s="31"/>
      <c r="Z582" s="31"/>
      <c r="AA582" s="31"/>
      <c r="AB582" s="31"/>
    </row>
    <row r="583" customHeight="1" spans="2:28">
      <c r="B583" s="6" t="str">
        <f t="shared" si="9"/>
        <v>43115-DT1EJ20250101-A-JIEU8018198-PARTS</v>
      </c>
      <c r="C583" s="29" t="s">
        <v>80</v>
      </c>
      <c r="D583" s="30" t="s">
        <v>81</v>
      </c>
      <c r="E583" s="30" t="s">
        <v>465</v>
      </c>
      <c r="F583" s="30" t="s">
        <v>466</v>
      </c>
      <c r="G583" s="31" t="s">
        <v>84</v>
      </c>
      <c r="H583" s="31"/>
      <c r="I583" s="31" t="s">
        <v>85</v>
      </c>
      <c r="J583" s="31" t="s">
        <v>474</v>
      </c>
      <c r="K583" s="31" t="s">
        <v>90</v>
      </c>
      <c r="L583" s="31">
        <v>8708299009</v>
      </c>
      <c r="M583" s="32" t="s">
        <v>91</v>
      </c>
      <c r="N583" s="33" t="s">
        <v>92</v>
      </c>
      <c r="O583" s="31">
        <v>1</v>
      </c>
      <c r="P583" s="34">
        <v>20</v>
      </c>
      <c r="Q583" s="34">
        <v>1.6</v>
      </c>
      <c r="R583" s="34">
        <v>0.05</v>
      </c>
      <c r="S583" s="34">
        <v>21.65</v>
      </c>
      <c r="T583" s="35">
        <v>0.633</v>
      </c>
      <c r="U583" s="35">
        <v>0.633</v>
      </c>
      <c r="V583" s="35">
        <v>0.91</v>
      </c>
      <c r="W583" s="35">
        <v>0.91</v>
      </c>
      <c r="X583" s="34">
        <v>21.65</v>
      </c>
      <c r="Y583" s="31"/>
      <c r="Z583" s="31"/>
      <c r="AA583" s="31"/>
      <c r="AB583" s="31"/>
    </row>
    <row r="584" customHeight="1" spans="2:28">
      <c r="B584" s="6" t="str">
        <f t="shared" si="9"/>
        <v>43115-DT1EJ20250101-A-JIEU8018198-PARTS</v>
      </c>
      <c r="C584" s="29" t="s">
        <v>80</v>
      </c>
      <c r="D584" s="30" t="s">
        <v>81</v>
      </c>
      <c r="E584" s="30" t="s">
        <v>465</v>
      </c>
      <c r="F584" s="30" t="s">
        <v>466</v>
      </c>
      <c r="G584" s="31" t="s">
        <v>84</v>
      </c>
      <c r="H584" s="31"/>
      <c r="I584" s="31" t="s">
        <v>85</v>
      </c>
      <c r="J584" s="31" t="s">
        <v>474</v>
      </c>
      <c r="K584" s="31" t="s">
        <v>93</v>
      </c>
      <c r="L584" s="31">
        <v>8708299009</v>
      </c>
      <c r="M584" s="32" t="s">
        <v>94</v>
      </c>
      <c r="N584" s="33" t="s">
        <v>95</v>
      </c>
      <c r="O584" s="31">
        <v>1</v>
      </c>
      <c r="P584" s="34">
        <v>19.64</v>
      </c>
      <c r="Q584" s="34">
        <v>1.57</v>
      </c>
      <c r="R584" s="34">
        <v>0.05</v>
      </c>
      <c r="S584" s="34">
        <v>21.26</v>
      </c>
      <c r="T584" s="35">
        <v>0.622</v>
      </c>
      <c r="U584" s="35">
        <v>0.622</v>
      </c>
      <c r="V584" s="35">
        <v>0.9</v>
      </c>
      <c r="W584" s="35">
        <v>0.9</v>
      </c>
      <c r="X584" s="34">
        <v>21.26</v>
      </c>
      <c r="Y584" s="31"/>
      <c r="Z584" s="31"/>
      <c r="AA584" s="31"/>
      <c r="AB584" s="31"/>
    </row>
    <row r="585" customHeight="1" spans="2:28">
      <c r="B585" s="6" t="str">
        <f t="shared" si="9"/>
        <v>43115-DT1EJ20250101-A-JIEU8018198-PARTS</v>
      </c>
      <c r="C585" s="29" t="s">
        <v>80</v>
      </c>
      <c r="D585" s="30" t="s">
        <v>81</v>
      </c>
      <c r="E585" s="30" t="s">
        <v>465</v>
      </c>
      <c r="F585" s="30" t="s">
        <v>466</v>
      </c>
      <c r="G585" s="31" t="s">
        <v>84</v>
      </c>
      <c r="H585" s="31"/>
      <c r="I585" s="31" t="s">
        <v>85</v>
      </c>
      <c r="J585" s="31" t="s">
        <v>474</v>
      </c>
      <c r="K585" s="31" t="s">
        <v>87</v>
      </c>
      <c r="L585" s="31">
        <v>8708999709</v>
      </c>
      <c r="M585" s="32" t="s">
        <v>88</v>
      </c>
      <c r="N585" s="33" t="s">
        <v>89</v>
      </c>
      <c r="O585" s="31">
        <v>1</v>
      </c>
      <c r="P585" s="34">
        <v>831.11</v>
      </c>
      <c r="Q585" s="34">
        <v>66.62</v>
      </c>
      <c r="R585" s="34">
        <v>1.92</v>
      </c>
      <c r="S585" s="34">
        <v>899.65</v>
      </c>
      <c r="T585" s="35">
        <v>7.824</v>
      </c>
      <c r="U585" s="35">
        <v>7.824</v>
      </c>
      <c r="V585" s="35">
        <v>11.27</v>
      </c>
      <c r="W585" s="35">
        <v>11.27</v>
      </c>
      <c r="X585" s="34">
        <v>899.65</v>
      </c>
      <c r="Y585" s="31"/>
      <c r="Z585" s="31"/>
      <c r="AA585" s="31"/>
      <c r="AB585" s="31"/>
    </row>
    <row r="586" customHeight="1" spans="2:28">
      <c r="B586" s="6" t="str">
        <f t="shared" si="9"/>
        <v>43115-DT1EJ20250101-A-JIEU8018198-PARTS</v>
      </c>
      <c r="C586" s="29" t="s">
        <v>80</v>
      </c>
      <c r="D586" s="30" t="s">
        <v>81</v>
      </c>
      <c r="E586" s="30" t="s">
        <v>465</v>
      </c>
      <c r="F586" s="30" t="s">
        <v>466</v>
      </c>
      <c r="G586" s="31" t="s">
        <v>84</v>
      </c>
      <c r="H586" s="31"/>
      <c r="I586" s="31" t="s">
        <v>85</v>
      </c>
      <c r="J586" s="31" t="s">
        <v>474</v>
      </c>
      <c r="K586" s="31" t="s">
        <v>90</v>
      </c>
      <c r="L586" s="31">
        <v>8708299009</v>
      </c>
      <c r="M586" s="32" t="s">
        <v>91</v>
      </c>
      <c r="N586" s="33" t="s">
        <v>92</v>
      </c>
      <c r="O586" s="31">
        <v>1</v>
      </c>
      <c r="P586" s="34">
        <v>20</v>
      </c>
      <c r="Q586" s="34">
        <v>1.6</v>
      </c>
      <c r="R586" s="34">
        <v>0.05</v>
      </c>
      <c r="S586" s="34">
        <v>21.65</v>
      </c>
      <c r="T586" s="35">
        <v>0.633</v>
      </c>
      <c r="U586" s="35">
        <v>0.633</v>
      </c>
      <c r="V586" s="35">
        <v>0.91</v>
      </c>
      <c r="W586" s="35">
        <v>0.91</v>
      </c>
      <c r="X586" s="34">
        <v>21.65</v>
      </c>
      <c r="Y586" s="31"/>
      <c r="Z586" s="31"/>
      <c r="AA586" s="31"/>
      <c r="AB586" s="31"/>
    </row>
    <row r="587" customHeight="1" spans="2:28">
      <c r="B587" s="6" t="str">
        <f t="shared" si="9"/>
        <v>43115-DT1EJ20250101-A-JIEU8018198-PARTS</v>
      </c>
      <c r="C587" s="29" t="s">
        <v>80</v>
      </c>
      <c r="D587" s="30" t="s">
        <v>81</v>
      </c>
      <c r="E587" s="30" t="s">
        <v>465</v>
      </c>
      <c r="F587" s="30" t="s">
        <v>466</v>
      </c>
      <c r="G587" s="31" t="s">
        <v>84</v>
      </c>
      <c r="H587" s="31"/>
      <c r="I587" s="31" t="s">
        <v>85</v>
      </c>
      <c r="J587" s="31" t="s">
        <v>474</v>
      </c>
      <c r="K587" s="31" t="s">
        <v>93</v>
      </c>
      <c r="L587" s="31">
        <v>8708299009</v>
      </c>
      <c r="M587" s="32" t="s">
        <v>94</v>
      </c>
      <c r="N587" s="33" t="s">
        <v>95</v>
      </c>
      <c r="O587" s="31">
        <v>1</v>
      </c>
      <c r="P587" s="34">
        <v>19.64</v>
      </c>
      <c r="Q587" s="34">
        <v>1.57</v>
      </c>
      <c r="R587" s="34">
        <v>0.05</v>
      </c>
      <c r="S587" s="34">
        <v>21.26</v>
      </c>
      <c r="T587" s="35">
        <v>0.622</v>
      </c>
      <c r="U587" s="35">
        <v>0.622</v>
      </c>
      <c r="V587" s="35">
        <v>0.9</v>
      </c>
      <c r="W587" s="35">
        <v>0.9</v>
      </c>
      <c r="X587" s="34">
        <v>21.26</v>
      </c>
      <c r="Y587" s="31"/>
      <c r="Z587" s="31"/>
      <c r="AA587" s="31"/>
      <c r="AB587" s="31"/>
    </row>
    <row r="588" customHeight="1" spans="2:28">
      <c r="B588" s="6" t="str">
        <f t="shared" si="9"/>
        <v>43115-DT1EJ20250101-A-JIEU8018198-PARTS</v>
      </c>
      <c r="C588" s="29" t="s">
        <v>80</v>
      </c>
      <c r="D588" s="30" t="s">
        <v>81</v>
      </c>
      <c r="E588" s="30" t="s">
        <v>465</v>
      </c>
      <c r="F588" s="30" t="s">
        <v>466</v>
      </c>
      <c r="G588" s="31" t="s">
        <v>84</v>
      </c>
      <c r="H588" s="31"/>
      <c r="I588" s="31" t="s">
        <v>85</v>
      </c>
      <c r="J588" s="31" t="s">
        <v>474</v>
      </c>
      <c r="K588" s="31" t="s">
        <v>87</v>
      </c>
      <c r="L588" s="31">
        <v>8708999709</v>
      </c>
      <c r="M588" s="32" t="s">
        <v>88</v>
      </c>
      <c r="N588" s="33" t="s">
        <v>89</v>
      </c>
      <c r="O588" s="31">
        <v>1</v>
      </c>
      <c r="P588" s="34">
        <v>831.11</v>
      </c>
      <c r="Q588" s="34">
        <v>66.62</v>
      </c>
      <c r="R588" s="34">
        <v>1.92</v>
      </c>
      <c r="S588" s="34">
        <v>899.65</v>
      </c>
      <c r="T588" s="35">
        <v>7.824</v>
      </c>
      <c r="U588" s="35">
        <v>7.824</v>
      </c>
      <c r="V588" s="35">
        <v>11.27</v>
      </c>
      <c r="W588" s="35">
        <v>11.27</v>
      </c>
      <c r="X588" s="34">
        <v>899.65</v>
      </c>
      <c r="Y588" s="31"/>
      <c r="Z588" s="31"/>
      <c r="AA588" s="31"/>
      <c r="AB588" s="31"/>
    </row>
    <row r="589" customHeight="1" spans="2:28">
      <c r="B589" s="6" t="str">
        <f t="shared" si="9"/>
        <v>43115-DT1EJ20250101-A-JIEU8018198-PARTS</v>
      </c>
      <c r="C589" s="29" t="s">
        <v>80</v>
      </c>
      <c r="D589" s="30" t="s">
        <v>81</v>
      </c>
      <c r="E589" s="30" t="s">
        <v>465</v>
      </c>
      <c r="F589" s="30" t="s">
        <v>466</v>
      </c>
      <c r="G589" s="31" t="s">
        <v>84</v>
      </c>
      <c r="H589" s="31"/>
      <c r="I589" s="31" t="s">
        <v>85</v>
      </c>
      <c r="J589" s="31" t="s">
        <v>474</v>
      </c>
      <c r="K589" s="31" t="s">
        <v>90</v>
      </c>
      <c r="L589" s="31">
        <v>8708299009</v>
      </c>
      <c r="M589" s="32" t="s">
        <v>91</v>
      </c>
      <c r="N589" s="33" t="s">
        <v>92</v>
      </c>
      <c r="O589" s="31">
        <v>1</v>
      </c>
      <c r="P589" s="34">
        <v>20</v>
      </c>
      <c r="Q589" s="34">
        <v>1.6</v>
      </c>
      <c r="R589" s="34">
        <v>0.05</v>
      </c>
      <c r="S589" s="34">
        <v>21.65</v>
      </c>
      <c r="T589" s="35">
        <v>0.633</v>
      </c>
      <c r="U589" s="35">
        <v>0.633</v>
      </c>
      <c r="V589" s="35">
        <v>0.91</v>
      </c>
      <c r="W589" s="35">
        <v>0.91</v>
      </c>
      <c r="X589" s="34">
        <v>21.65</v>
      </c>
      <c r="Y589" s="31"/>
      <c r="Z589" s="31"/>
      <c r="AA589" s="31"/>
      <c r="AB589" s="31"/>
    </row>
    <row r="590" spans="2:28">
      <c r="B590" s="6" t="str">
        <f t="shared" si="9"/>
        <v>43115-DT1EJ20250101-A-JIEU8018198-PARTS</v>
      </c>
      <c r="C590" t="s">
        <v>80</v>
      </c>
      <c r="D590" t="s">
        <v>81</v>
      </c>
      <c r="E590" t="s">
        <v>465</v>
      </c>
      <c r="F590" t="s">
        <v>466</v>
      </c>
      <c r="G590" s="1" t="s">
        <v>84</v>
      </c>
      <c r="I590" s="1" t="s">
        <v>85</v>
      </c>
      <c r="J590" s="1" t="s">
        <v>474</v>
      </c>
      <c r="K590" s="1" t="s">
        <v>93</v>
      </c>
      <c r="L590">
        <v>8708299009</v>
      </c>
      <c r="M590" s="2" t="s">
        <v>94</v>
      </c>
      <c r="N590" s="3" t="s">
        <v>95</v>
      </c>
      <c r="O590" s="1">
        <v>1</v>
      </c>
      <c r="P590" s="4">
        <v>19.64</v>
      </c>
      <c r="Q590" s="4">
        <v>1.57</v>
      </c>
      <c r="R590" s="4">
        <v>0.05</v>
      </c>
      <c r="S590" s="4">
        <v>21.26</v>
      </c>
      <c r="T590" s="5">
        <v>0.622</v>
      </c>
      <c r="U590" s="5">
        <v>0.622</v>
      </c>
      <c r="V590" s="5">
        <v>0.9</v>
      </c>
      <c r="W590" s="5">
        <v>0.9</v>
      </c>
      <c r="X590" s="4">
        <v>21.26</v>
      </c>
    </row>
    <row r="591" spans="2:28">
      <c r="B591" s="6" t="str">
        <f t="shared" si="9"/>
        <v>43115-DT1EJ20250101-A-JIEU8018198-PARTS</v>
      </c>
      <c r="C591" t="s">
        <v>80</v>
      </c>
      <c r="D591" t="s">
        <v>81</v>
      </c>
      <c r="E591" t="s">
        <v>465</v>
      </c>
      <c r="F591" t="s">
        <v>466</v>
      </c>
      <c r="G591" s="1" t="s">
        <v>84</v>
      </c>
      <c r="I591" s="1" t="s">
        <v>85</v>
      </c>
      <c r="J591" s="1" t="s">
        <v>474</v>
      </c>
      <c r="K591" s="1" t="s">
        <v>87</v>
      </c>
      <c r="L591">
        <v>8708999709</v>
      </c>
      <c r="M591" s="2" t="s">
        <v>88</v>
      </c>
      <c r="N591" s="3" t="s">
        <v>89</v>
      </c>
      <c r="O591" s="1">
        <v>1</v>
      </c>
      <c r="P591" s="4">
        <v>831.11</v>
      </c>
      <c r="Q591" s="4">
        <v>66.62</v>
      </c>
      <c r="R591" s="4">
        <v>1.92</v>
      </c>
      <c r="S591" s="4">
        <v>899.65</v>
      </c>
      <c r="T591" s="5">
        <v>7.824</v>
      </c>
      <c r="U591" s="5">
        <v>7.824</v>
      </c>
      <c r="V591" s="5">
        <v>11.27</v>
      </c>
      <c r="W591" s="5">
        <v>11.27</v>
      </c>
      <c r="X591" s="4">
        <v>899.65</v>
      </c>
    </row>
    <row r="592" spans="2:28">
      <c r="B592" s="6" t="str">
        <f t="shared" si="9"/>
        <v>43115-DT1EJ20250101-A-JIEU8018198-PARTS</v>
      </c>
      <c r="C592" t="s">
        <v>80</v>
      </c>
      <c r="D592" t="s">
        <v>81</v>
      </c>
      <c r="E592" t="s">
        <v>465</v>
      </c>
      <c r="F592" t="s">
        <v>466</v>
      </c>
      <c r="G592" s="1" t="s">
        <v>84</v>
      </c>
      <c r="I592" s="1" t="s">
        <v>85</v>
      </c>
      <c r="J592" s="1" t="s">
        <v>474</v>
      </c>
      <c r="K592" s="1" t="s">
        <v>90</v>
      </c>
      <c r="L592">
        <v>8708299009</v>
      </c>
      <c r="M592" s="2" t="s">
        <v>91</v>
      </c>
      <c r="N592" s="3" t="s">
        <v>92</v>
      </c>
      <c r="O592" s="1">
        <v>1</v>
      </c>
      <c r="P592" s="4">
        <v>20</v>
      </c>
      <c r="Q592" s="4">
        <v>1.6</v>
      </c>
      <c r="R592" s="4">
        <v>0.05</v>
      </c>
      <c r="S592" s="4">
        <v>21.65</v>
      </c>
      <c r="T592" s="5">
        <v>0.633</v>
      </c>
      <c r="U592" s="5">
        <v>0.633</v>
      </c>
      <c r="V592" s="5">
        <v>0.91</v>
      </c>
      <c r="W592" s="5">
        <v>0.91</v>
      </c>
      <c r="X592" s="4">
        <v>21.65</v>
      </c>
    </row>
    <row r="593" spans="2:28">
      <c r="B593" s="6" t="str">
        <f t="shared" si="9"/>
        <v>43115-DT1EJ20250101-A-JIEU8018198-PARTS</v>
      </c>
      <c r="C593" t="s">
        <v>80</v>
      </c>
      <c r="D593" t="s">
        <v>81</v>
      </c>
      <c r="E593" t="s">
        <v>465</v>
      </c>
      <c r="F593" t="s">
        <v>466</v>
      </c>
      <c r="G593" s="1" t="s">
        <v>84</v>
      </c>
      <c r="I593" s="1" t="s">
        <v>85</v>
      </c>
      <c r="J593" s="1" t="s">
        <v>474</v>
      </c>
      <c r="K593" s="1" t="s">
        <v>93</v>
      </c>
      <c r="L593">
        <v>8708299009</v>
      </c>
      <c r="M593" s="2" t="s">
        <v>94</v>
      </c>
      <c r="N593" s="3" t="s">
        <v>95</v>
      </c>
      <c r="O593" s="1">
        <v>1</v>
      </c>
      <c r="P593" s="4">
        <v>19.64</v>
      </c>
      <c r="Q593" s="4">
        <v>1.57</v>
      </c>
      <c r="R593" s="4">
        <v>0.05</v>
      </c>
      <c r="S593" s="4">
        <v>21.26</v>
      </c>
      <c r="T593" s="5">
        <v>0.622</v>
      </c>
      <c r="U593" s="5">
        <v>0.622</v>
      </c>
      <c r="V593" s="5">
        <v>0.9</v>
      </c>
      <c r="W593" s="5">
        <v>0.9</v>
      </c>
      <c r="X593" s="4">
        <v>21.26</v>
      </c>
    </row>
    <row r="594" spans="2:28">
      <c r="B594" s="6" t="str">
        <f t="shared" si="9"/>
        <v>43115-DT1EJ20250101-A-JIEU8018198-PARTS</v>
      </c>
      <c r="C594" t="s">
        <v>80</v>
      </c>
      <c r="D594" t="s">
        <v>81</v>
      </c>
      <c r="E594" t="s">
        <v>465</v>
      </c>
      <c r="F594" t="s">
        <v>466</v>
      </c>
      <c r="G594" s="1" t="s">
        <v>84</v>
      </c>
      <c r="I594" s="1" t="s">
        <v>85</v>
      </c>
      <c r="J594" s="1" t="s">
        <v>474</v>
      </c>
      <c r="K594" s="1" t="s">
        <v>87</v>
      </c>
      <c r="L594">
        <v>8708999709</v>
      </c>
      <c r="M594" s="2" t="s">
        <v>88</v>
      </c>
      <c r="N594" s="3" t="s">
        <v>89</v>
      </c>
      <c r="O594" s="1">
        <v>1</v>
      </c>
      <c r="P594" s="4">
        <v>831.11</v>
      </c>
      <c r="Q594" s="4">
        <v>66.62</v>
      </c>
      <c r="R594" s="4">
        <v>1.92</v>
      </c>
      <c r="S594" s="4">
        <v>899.65</v>
      </c>
      <c r="T594" s="5">
        <v>7.824</v>
      </c>
      <c r="U594" s="5">
        <v>7.824</v>
      </c>
      <c r="V594" s="5">
        <v>11.27</v>
      </c>
      <c r="W594" s="5">
        <v>11.27</v>
      </c>
      <c r="X594" s="4">
        <v>899.65</v>
      </c>
    </row>
    <row r="595" spans="2:28">
      <c r="B595" s="6" t="str">
        <f t="shared" si="9"/>
        <v>43115-DT1EJ20250101-A-JIEU8018198-PARTS</v>
      </c>
      <c r="C595" t="s">
        <v>80</v>
      </c>
      <c r="D595" t="s">
        <v>81</v>
      </c>
      <c r="E595" t="s">
        <v>465</v>
      </c>
      <c r="F595" t="s">
        <v>466</v>
      </c>
      <c r="G595" s="1" t="s">
        <v>84</v>
      </c>
      <c r="I595" s="1" t="s">
        <v>85</v>
      </c>
      <c r="J595" s="1" t="s">
        <v>474</v>
      </c>
      <c r="K595" s="1" t="s">
        <v>90</v>
      </c>
      <c r="L595">
        <v>8708299009</v>
      </c>
      <c r="M595" s="2" t="s">
        <v>91</v>
      </c>
      <c r="N595" s="3" t="s">
        <v>92</v>
      </c>
      <c r="O595" s="1">
        <v>1</v>
      </c>
      <c r="P595" s="4">
        <v>20</v>
      </c>
      <c r="Q595" s="4">
        <v>1.6</v>
      </c>
      <c r="R595" s="4">
        <v>0.05</v>
      </c>
      <c r="S595" s="4">
        <v>21.65</v>
      </c>
      <c r="T595" s="5">
        <v>0.633</v>
      </c>
      <c r="U595" s="5">
        <v>0.633</v>
      </c>
      <c r="V595" s="5">
        <v>0.91</v>
      </c>
      <c r="W595" s="5">
        <v>0.91</v>
      </c>
      <c r="X595" s="4">
        <v>21.65</v>
      </c>
    </row>
    <row r="596" spans="2:28">
      <c r="B596" s="6" t="str">
        <f t="shared" si="9"/>
        <v>43115-DT1EJ20250101-A-JIEU8018198-PARTS</v>
      </c>
      <c r="C596" t="s">
        <v>80</v>
      </c>
      <c r="D596" t="s">
        <v>81</v>
      </c>
      <c r="E596" t="s">
        <v>465</v>
      </c>
      <c r="F596" t="s">
        <v>466</v>
      </c>
      <c r="G596" s="1" t="s">
        <v>84</v>
      </c>
      <c r="I596" s="1" t="s">
        <v>85</v>
      </c>
      <c r="J596" s="1" t="s">
        <v>474</v>
      </c>
      <c r="K596" s="1" t="s">
        <v>93</v>
      </c>
      <c r="L596">
        <v>8708299009</v>
      </c>
      <c r="M596" s="2" t="s">
        <v>94</v>
      </c>
      <c r="N596" s="3" t="s">
        <v>95</v>
      </c>
      <c r="O596" s="1">
        <v>1</v>
      </c>
      <c r="P596" s="4">
        <v>19.64</v>
      </c>
      <c r="Q596" s="4">
        <v>1.57</v>
      </c>
      <c r="R596" s="4">
        <v>0.05</v>
      </c>
      <c r="S596" s="4">
        <v>21.26</v>
      </c>
      <c r="T596" s="5">
        <v>0.622</v>
      </c>
      <c r="U596" s="5">
        <v>0.622</v>
      </c>
      <c r="V596" s="5">
        <v>0.9</v>
      </c>
      <c r="W596" s="5">
        <v>0.9</v>
      </c>
      <c r="X596" s="4">
        <v>21.26</v>
      </c>
    </row>
    <row r="597" spans="2:28">
      <c r="B597" s="6" t="str">
        <f t="shared" si="9"/>
        <v>43115-DT1EJ20250101-A-JIEU8018198-PARTS</v>
      </c>
      <c r="C597" t="s">
        <v>80</v>
      </c>
      <c r="D597" t="s">
        <v>81</v>
      </c>
      <c r="E597" t="s">
        <v>465</v>
      </c>
      <c r="F597" t="s">
        <v>466</v>
      </c>
      <c r="G597" s="1" t="s">
        <v>84</v>
      </c>
      <c r="I597" s="1" t="s">
        <v>85</v>
      </c>
      <c r="J597" s="1" t="s">
        <v>474</v>
      </c>
      <c r="K597" s="1" t="s">
        <v>87</v>
      </c>
      <c r="L597">
        <v>8708999709</v>
      </c>
      <c r="M597" s="2" t="s">
        <v>88</v>
      </c>
      <c r="N597" s="3" t="s">
        <v>89</v>
      </c>
      <c r="O597" s="1">
        <v>1</v>
      </c>
      <c r="P597" s="4">
        <v>831.11</v>
      </c>
      <c r="Q597" s="4">
        <v>66.62</v>
      </c>
      <c r="R597" s="4">
        <v>1.92</v>
      </c>
      <c r="S597" s="4">
        <v>899.65</v>
      </c>
      <c r="T597" s="5">
        <v>7.824</v>
      </c>
      <c r="U597" s="5">
        <v>7.824</v>
      </c>
      <c r="V597" s="5">
        <v>11.27</v>
      </c>
      <c r="W597" s="5">
        <v>11.27</v>
      </c>
      <c r="X597" s="4">
        <v>899.65</v>
      </c>
    </row>
    <row r="598" spans="2:28">
      <c r="B598" s="6" t="str">
        <f t="shared" si="9"/>
        <v>43115-DT1EJ20250101-A-JIEU8018198-PARTS</v>
      </c>
      <c r="C598" t="s">
        <v>80</v>
      </c>
      <c r="D598" t="s">
        <v>81</v>
      </c>
      <c r="E598" t="s">
        <v>465</v>
      </c>
      <c r="F598" t="s">
        <v>466</v>
      </c>
      <c r="G598" s="1" t="s">
        <v>84</v>
      </c>
      <c r="I598" s="1" t="s">
        <v>85</v>
      </c>
      <c r="J598" s="1" t="s">
        <v>474</v>
      </c>
      <c r="K598" s="1" t="s">
        <v>90</v>
      </c>
      <c r="L598">
        <v>8708299009</v>
      </c>
      <c r="M598" s="2" t="s">
        <v>91</v>
      </c>
      <c r="N598" s="3" t="s">
        <v>92</v>
      </c>
      <c r="O598" s="1">
        <v>1</v>
      </c>
      <c r="P598" s="4">
        <v>20</v>
      </c>
      <c r="Q598" s="4">
        <v>1.6</v>
      </c>
      <c r="R598" s="4">
        <v>0.05</v>
      </c>
      <c r="S598" s="4">
        <v>21.65</v>
      </c>
      <c r="T598" s="5">
        <v>0.633</v>
      </c>
      <c r="U598" s="5">
        <v>0.633</v>
      </c>
      <c r="V598" s="5">
        <v>0.91</v>
      </c>
      <c r="W598" s="5">
        <v>0.91</v>
      </c>
      <c r="X598" s="4">
        <v>21.65</v>
      </c>
    </row>
    <row r="599" customHeight="1" spans="2:28">
      <c r="B599" s="6" t="str">
        <f t="shared" si="9"/>
        <v>43115-DT1EJ20250101-A-JIEU8018198-PARTS</v>
      </c>
      <c r="C599" s="29" t="s">
        <v>80</v>
      </c>
      <c r="D599" s="30" t="s">
        <v>81</v>
      </c>
      <c r="E599" s="30" t="s">
        <v>465</v>
      </c>
      <c r="F599" s="30" t="s">
        <v>466</v>
      </c>
      <c r="G599" s="31" t="s">
        <v>84</v>
      </c>
      <c r="H599" s="31"/>
      <c r="I599" s="31" t="s">
        <v>85</v>
      </c>
      <c r="J599" s="31" t="s">
        <v>474</v>
      </c>
      <c r="K599" s="31" t="s">
        <v>93</v>
      </c>
      <c r="L599" s="31">
        <v>8708299009</v>
      </c>
      <c r="M599" s="32" t="s">
        <v>94</v>
      </c>
      <c r="N599" s="33" t="s">
        <v>95</v>
      </c>
      <c r="O599" s="31">
        <v>1</v>
      </c>
      <c r="P599" s="34">
        <v>19.64</v>
      </c>
      <c r="Q599" s="34">
        <v>1.57</v>
      </c>
      <c r="R599" s="34">
        <v>0.05</v>
      </c>
      <c r="S599" s="34">
        <v>21.26</v>
      </c>
      <c r="T599" s="35">
        <v>0.622</v>
      </c>
      <c r="U599" s="35">
        <v>0.622</v>
      </c>
      <c r="V599" s="35">
        <v>0.9</v>
      </c>
      <c r="W599" s="35">
        <v>0.9</v>
      </c>
      <c r="X599" s="34">
        <v>21.26</v>
      </c>
      <c r="Y599" s="31"/>
      <c r="Z599" s="31"/>
      <c r="AA599" s="31"/>
      <c r="AB599" s="31"/>
    </row>
    <row r="600" customHeight="1" spans="2:28">
      <c r="B600" s="6" t="str">
        <f t="shared" si="9"/>
        <v>43115-DT1EJ20250101-A-JIEU8018198-PARTS</v>
      </c>
      <c r="C600" s="29" t="s">
        <v>80</v>
      </c>
      <c r="D600" s="30" t="s">
        <v>81</v>
      </c>
      <c r="E600" s="30" t="s">
        <v>465</v>
      </c>
      <c r="F600" s="30" t="s">
        <v>466</v>
      </c>
      <c r="G600" s="31" t="s">
        <v>84</v>
      </c>
      <c r="H600" s="31"/>
      <c r="I600" s="31" t="s">
        <v>85</v>
      </c>
      <c r="J600" s="31" t="s">
        <v>474</v>
      </c>
      <c r="K600" s="31" t="s">
        <v>87</v>
      </c>
      <c r="L600" s="31">
        <v>8708999709</v>
      </c>
      <c r="M600" s="32" t="s">
        <v>88</v>
      </c>
      <c r="N600" s="33" t="s">
        <v>89</v>
      </c>
      <c r="O600" s="31">
        <v>1</v>
      </c>
      <c r="P600" s="34">
        <v>831.11</v>
      </c>
      <c r="Q600" s="34">
        <v>66.62</v>
      </c>
      <c r="R600" s="34">
        <v>1.92</v>
      </c>
      <c r="S600" s="34">
        <v>899.65</v>
      </c>
      <c r="T600" s="35">
        <v>7.824</v>
      </c>
      <c r="U600" s="35">
        <v>7.824</v>
      </c>
      <c r="V600" s="35">
        <v>11.27</v>
      </c>
      <c r="W600" s="35">
        <v>11.27</v>
      </c>
      <c r="X600" s="34">
        <v>899.65</v>
      </c>
      <c r="Y600" s="31"/>
      <c r="Z600" s="31"/>
      <c r="AA600" s="31"/>
      <c r="AB600" s="31"/>
    </row>
    <row r="601" customHeight="1" spans="2:28">
      <c r="B601" s="6" t="str">
        <f t="shared" si="9"/>
        <v>43115-DT1EJ20250101-A-JIEU8018198-PARTS</v>
      </c>
      <c r="C601" s="29" t="s">
        <v>80</v>
      </c>
      <c r="D601" s="30" t="s">
        <v>81</v>
      </c>
      <c r="E601" s="30" t="s">
        <v>465</v>
      </c>
      <c r="F601" s="30" t="s">
        <v>466</v>
      </c>
      <c r="G601" s="31" t="s">
        <v>84</v>
      </c>
      <c r="H601" s="31"/>
      <c r="I601" s="31" t="s">
        <v>85</v>
      </c>
      <c r="J601" s="31" t="s">
        <v>474</v>
      </c>
      <c r="K601" s="31" t="s">
        <v>90</v>
      </c>
      <c r="L601" s="31">
        <v>8708299009</v>
      </c>
      <c r="M601" s="32" t="s">
        <v>91</v>
      </c>
      <c r="N601" s="33" t="s">
        <v>92</v>
      </c>
      <c r="O601" s="31">
        <v>1</v>
      </c>
      <c r="P601" s="34">
        <v>20</v>
      </c>
      <c r="Q601" s="34">
        <v>1.6</v>
      </c>
      <c r="R601" s="34">
        <v>0.05</v>
      </c>
      <c r="S601" s="34">
        <v>21.65</v>
      </c>
      <c r="T601" s="35">
        <v>0.633</v>
      </c>
      <c r="U601" s="35">
        <v>0.633</v>
      </c>
      <c r="V601" s="35">
        <v>0.91</v>
      </c>
      <c r="W601" s="35">
        <v>0.91</v>
      </c>
      <c r="X601" s="34">
        <v>21.65</v>
      </c>
      <c r="Y601" s="31"/>
      <c r="Z601" s="31"/>
      <c r="AA601" s="31"/>
      <c r="AB601" s="31"/>
    </row>
    <row r="602" spans="2:28">
      <c r="B602" s="6" t="str">
        <f t="shared" si="9"/>
        <v>43115-DT1EJ20250101-A-JIEU8018198-PARTS</v>
      </c>
      <c r="C602" t="s">
        <v>80</v>
      </c>
      <c r="D602" t="s">
        <v>81</v>
      </c>
      <c r="E602" t="s">
        <v>465</v>
      </c>
      <c r="F602" t="s">
        <v>466</v>
      </c>
      <c r="G602" s="1" t="s">
        <v>84</v>
      </c>
      <c r="I602" s="1" t="s">
        <v>85</v>
      </c>
      <c r="J602" s="1" t="s">
        <v>474</v>
      </c>
      <c r="K602" s="1" t="s">
        <v>93</v>
      </c>
      <c r="L602">
        <v>8708299009</v>
      </c>
      <c r="M602" s="2" t="s">
        <v>94</v>
      </c>
      <c r="N602" s="3" t="s">
        <v>95</v>
      </c>
      <c r="O602" s="1">
        <v>1</v>
      </c>
      <c r="P602" s="4">
        <v>19.64</v>
      </c>
      <c r="Q602" s="4">
        <v>1.57</v>
      </c>
      <c r="R602" s="4">
        <v>0.05</v>
      </c>
      <c r="S602" s="4">
        <v>21.26</v>
      </c>
      <c r="T602" s="5">
        <v>0.622</v>
      </c>
      <c r="U602" s="5">
        <v>0.622</v>
      </c>
      <c r="V602" s="5">
        <v>0.9</v>
      </c>
      <c r="W602" s="5">
        <v>0.9</v>
      </c>
      <c r="X602" s="4">
        <v>21.26</v>
      </c>
    </row>
    <row r="603" spans="2:28">
      <c r="B603" s="6" t="str">
        <f t="shared" si="9"/>
        <v>43115-DT1EJ20250101-A-JIEU8018198-PARTS</v>
      </c>
      <c r="C603" t="s">
        <v>80</v>
      </c>
      <c r="D603" t="s">
        <v>81</v>
      </c>
      <c r="E603" t="s">
        <v>465</v>
      </c>
      <c r="F603" t="s">
        <v>466</v>
      </c>
      <c r="G603" s="1" t="s">
        <v>84</v>
      </c>
      <c r="I603" s="1" t="s">
        <v>85</v>
      </c>
      <c r="J603" s="1" t="s">
        <v>474</v>
      </c>
      <c r="K603" s="1" t="s">
        <v>87</v>
      </c>
      <c r="L603">
        <v>8708999709</v>
      </c>
      <c r="M603" s="2" t="s">
        <v>88</v>
      </c>
      <c r="N603" s="3" t="s">
        <v>89</v>
      </c>
      <c r="O603" s="1">
        <v>1</v>
      </c>
      <c r="P603" s="4">
        <v>831.11</v>
      </c>
      <c r="Q603" s="4">
        <v>66.62</v>
      </c>
      <c r="R603" s="4">
        <v>1.92</v>
      </c>
      <c r="S603" s="4">
        <v>899.65</v>
      </c>
      <c r="T603" s="5">
        <v>7.824</v>
      </c>
      <c r="U603" s="5">
        <v>7.824</v>
      </c>
      <c r="V603" s="5">
        <v>11.27</v>
      </c>
      <c r="W603" s="5">
        <v>11.27</v>
      </c>
      <c r="X603" s="4">
        <v>899.65</v>
      </c>
    </row>
    <row r="604" spans="2:28">
      <c r="B604" s="6" t="str">
        <f t="shared" si="9"/>
        <v>43115-DT1EJ20250101-A-JIEU8018198-PARTS</v>
      </c>
      <c r="C604" t="s">
        <v>80</v>
      </c>
      <c r="D604" t="s">
        <v>81</v>
      </c>
      <c r="E604" t="s">
        <v>465</v>
      </c>
      <c r="F604" t="s">
        <v>466</v>
      </c>
      <c r="G604" s="1" t="s">
        <v>84</v>
      </c>
      <c r="I604" s="1" t="s">
        <v>85</v>
      </c>
      <c r="J604" s="1" t="s">
        <v>474</v>
      </c>
      <c r="K604" s="1" t="s">
        <v>90</v>
      </c>
      <c r="L604">
        <v>8708299009</v>
      </c>
      <c r="M604" s="2" t="s">
        <v>91</v>
      </c>
      <c r="N604" s="3" t="s">
        <v>92</v>
      </c>
      <c r="O604" s="1">
        <v>1</v>
      </c>
      <c r="P604" s="4">
        <v>20</v>
      </c>
      <c r="Q604" s="4">
        <v>1.6</v>
      </c>
      <c r="R604" s="4">
        <v>0.05</v>
      </c>
      <c r="S604" s="4">
        <v>21.65</v>
      </c>
      <c r="T604" s="5">
        <v>0.633</v>
      </c>
      <c r="U604" s="5">
        <v>0.633</v>
      </c>
      <c r="V604" s="5">
        <v>0.91</v>
      </c>
      <c r="W604" s="5">
        <v>0.91</v>
      </c>
      <c r="X604" s="4">
        <v>21.65</v>
      </c>
    </row>
    <row r="605" spans="2:28">
      <c r="B605" s="6" t="str">
        <f t="shared" si="9"/>
        <v>43115-DT1EJ20250101-A-JIEU8018198-PARTS</v>
      </c>
      <c r="C605" t="s">
        <v>80</v>
      </c>
      <c r="D605" t="s">
        <v>81</v>
      </c>
      <c r="E605" t="s">
        <v>465</v>
      </c>
      <c r="F605" t="s">
        <v>466</v>
      </c>
      <c r="G605" s="1" t="s">
        <v>84</v>
      </c>
      <c r="I605" s="1" t="s">
        <v>85</v>
      </c>
      <c r="J605" s="1" t="s">
        <v>474</v>
      </c>
      <c r="K605" s="1" t="s">
        <v>93</v>
      </c>
      <c r="L605">
        <v>8708299009</v>
      </c>
      <c r="M605" s="2" t="s">
        <v>94</v>
      </c>
      <c r="N605" s="3" t="s">
        <v>95</v>
      </c>
      <c r="O605" s="1">
        <v>1</v>
      </c>
      <c r="P605" s="4">
        <v>19.64</v>
      </c>
      <c r="Q605" s="4">
        <v>1.57</v>
      </c>
      <c r="R605" s="4">
        <v>0.05</v>
      </c>
      <c r="S605" s="4">
        <v>21.26</v>
      </c>
      <c r="T605" s="5">
        <v>0.622</v>
      </c>
      <c r="U605" s="5">
        <v>0.622</v>
      </c>
      <c r="V605" s="5">
        <v>0.9</v>
      </c>
      <c r="W605" s="5">
        <v>0.9</v>
      </c>
      <c r="X605" s="4">
        <v>21.26</v>
      </c>
    </row>
    <row r="606" spans="2:28">
      <c r="B606" s="6" t="str">
        <f t="shared" si="9"/>
        <v>43115-DT1EJ20250101-A-JIEU8018198-PARTS</v>
      </c>
      <c r="C606" t="s">
        <v>80</v>
      </c>
      <c r="D606" t="s">
        <v>81</v>
      </c>
      <c r="E606" t="s">
        <v>465</v>
      </c>
      <c r="F606" t="s">
        <v>466</v>
      </c>
      <c r="G606" s="1" t="s">
        <v>84</v>
      </c>
      <c r="I606" s="1" t="s">
        <v>85</v>
      </c>
      <c r="J606" s="1" t="s">
        <v>474</v>
      </c>
      <c r="K606" s="1" t="s">
        <v>87</v>
      </c>
      <c r="L606">
        <v>8708999709</v>
      </c>
      <c r="M606" s="2" t="s">
        <v>88</v>
      </c>
      <c r="N606" s="3" t="s">
        <v>89</v>
      </c>
      <c r="O606" s="1">
        <v>1</v>
      </c>
      <c r="P606" s="4">
        <v>831.11</v>
      </c>
      <c r="Q606" s="4">
        <v>66.62</v>
      </c>
      <c r="R606" s="4">
        <v>1.92</v>
      </c>
      <c r="S606" s="4">
        <v>899.65</v>
      </c>
      <c r="T606" s="5">
        <v>7.824</v>
      </c>
      <c r="U606" s="5">
        <v>7.824</v>
      </c>
      <c r="V606" s="5">
        <v>11.27</v>
      </c>
      <c r="W606" s="5">
        <v>11.27</v>
      </c>
      <c r="X606" s="4">
        <v>899.65</v>
      </c>
    </row>
    <row r="607" spans="2:28">
      <c r="B607" s="6" t="str">
        <f t="shared" si="9"/>
        <v>43115-DT1EJ20250101-A-JIEU8018198-PARTS</v>
      </c>
      <c r="C607" t="s">
        <v>80</v>
      </c>
      <c r="D607" t="s">
        <v>81</v>
      </c>
      <c r="E607" t="s">
        <v>465</v>
      </c>
      <c r="F607" t="s">
        <v>466</v>
      </c>
      <c r="G607" s="1" t="s">
        <v>84</v>
      </c>
      <c r="I607" s="1" t="s">
        <v>85</v>
      </c>
      <c r="J607" s="1" t="s">
        <v>474</v>
      </c>
      <c r="K607" s="1" t="s">
        <v>90</v>
      </c>
      <c r="L607">
        <v>8708299009</v>
      </c>
      <c r="M607" s="2" t="s">
        <v>91</v>
      </c>
      <c r="N607" s="3" t="s">
        <v>92</v>
      </c>
      <c r="O607" s="1">
        <v>1</v>
      </c>
      <c r="P607" s="4">
        <v>20</v>
      </c>
      <c r="Q607" s="4">
        <v>1.6</v>
      </c>
      <c r="R607" s="4">
        <v>0.05</v>
      </c>
      <c r="S607" s="4">
        <v>21.65</v>
      </c>
      <c r="T607" s="5">
        <v>0.633</v>
      </c>
      <c r="U607" s="5">
        <v>0.633</v>
      </c>
      <c r="V607" s="5">
        <v>0.91</v>
      </c>
      <c r="W607" s="5">
        <v>0.91</v>
      </c>
      <c r="X607" s="4">
        <v>21.65</v>
      </c>
    </row>
    <row r="608" spans="2:28">
      <c r="B608" s="6" t="str">
        <f t="shared" si="9"/>
        <v>43115-DT1EJ20250101-A-JIEU8018198-PARTS</v>
      </c>
      <c r="C608" t="s">
        <v>80</v>
      </c>
      <c r="D608" t="s">
        <v>81</v>
      </c>
      <c r="E608" t="s">
        <v>465</v>
      </c>
      <c r="F608" t="s">
        <v>466</v>
      </c>
      <c r="G608" s="1" t="s">
        <v>84</v>
      </c>
      <c r="I608" s="1" t="s">
        <v>85</v>
      </c>
      <c r="J608" s="1" t="s">
        <v>474</v>
      </c>
      <c r="K608" s="1" t="s">
        <v>93</v>
      </c>
      <c r="L608">
        <v>8708299009</v>
      </c>
      <c r="M608" s="2" t="s">
        <v>94</v>
      </c>
      <c r="N608" s="3" t="s">
        <v>95</v>
      </c>
      <c r="O608" s="1">
        <v>1</v>
      </c>
      <c r="P608" s="4">
        <v>19.64</v>
      </c>
      <c r="Q608" s="4">
        <v>1.57</v>
      </c>
      <c r="R608" s="4">
        <v>0.05</v>
      </c>
      <c r="S608" s="4">
        <v>21.26</v>
      </c>
      <c r="T608" s="5">
        <v>0.622</v>
      </c>
      <c r="U608" s="5">
        <v>0.622</v>
      </c>
      <c r="V608" s="5">
        <v>0.9</v>
      </c>
      <c r="W608" s="5">
        <v>0.9</v>
      </c>
      <c r="X608" s="4">
        <v>21.26</v>
      </c>
    </row>
    <row r="609" customHeight="1" spans="1:28">
      <c r="B609" s="6" t="str">
        <f t="shared" si="9"/>
        <v>43115-DT1EJ20250101-A-JIEU8018198-PARTS</v>
      </c>
      <c r="C609" t="s">
        <v>80</v>
      </c>
      <c r="D609" t="s">
        <v>81</v>
      </c>
      <c r="E609" t="s">
        <v>465</v>
      </c>
      <c r="F609" t="s">
        <v>466</v>
      </c>
      <c r="G609" s="1" t="s">
        <v>84</v>
      </c>
      <c r="I609" s="1" t="s">
        <v>85</v>
      </c>
      <c r="J609" s="1" t="s">
        <v>474</v>
      </c>
      <c r="K609" s="1" t="s">
        <v>87</v>
      </c>
      <c r="L609">
        <v>8708999709</v>
      </c>
      <c r="M609" s="2" t="s">
        <v>88</v>
      </c>
      <c r="N609" s="3" t="s">
        <v>89</v>
      </c>
      <c r="O609" s="1">
        <v>1</v>
      </c>
      <c r="P609" s="4">
        <v>831.11</v>
      </c>
      <c r="Q609" s="4">
        <v>66.62</v>
      </c>
      <c r="R609" s="4">
        <v>1.92</v>
      </c>
      <c r="S609" s="4">
        <v>899.65</v>
      </c>
      <c r="T609" s="5">
        <v>7.824</v>
      </c>
      <c r="U609" s="5">
        <v>7.824</v>
      </c>
      <c r="V609" s="5">
        <v>11.27</v>
      </c>
      <c r="W609" s="5">
        <v>11.27</v>
      </c>
      <c r="X609" s="4">
        <v>899.65</v>
      </c>
    </row>
    <row r="610" customHeight="1" spans="1:28">
      <c r="B610" s="6" t="str">
        <f t="shared" si="9"/>
        <v>43115-DT1EJ20250101-A-JIEU8018198-PARTS</v>
      </c>
      <c r="C610" s="29" t="s">
        <v>80</v>
      </c>
      <c r="D610" s="30" t="s">
        <v>81</v>
      </c>
      <c r="E610" s="30" t="s">
        <v>465</v>
      </c>
      <c r="F610" s="30" t="s">
        <v>466</v>
      </c>
      <c r="G610" s="31" t="s">
        <v>84</v>
      </c>
      <c r="H610" s="31"/>
      <c r="I610" s="31" t="s">
        <v>85</v>
      </c>
      <c r="J610" s="31" t="s">
        <v>474</v>
      </c>
      <c r="K610" s="31" t="s">
        <v>90</v>
      </c>
      <c r="L610" s="31">
        <v>8708299009</v>
      </c>
      <c r="M610" s="32" t="s">
        <v>91</v>
      </c>
      <c r="N610" s="33" t="s">
        <v>92</v>
      </c>
      <c r="O610" s="31">
        <v>1</v>
      </c>
      <c r="P610" s="34">
        <v>20</v>
      </c>
      <c r="Q610" s="34">
        <v>1.6</v>
      </c>
      <c r="R610" s="34">
        <v>0.05</v>
      </c>
      <c r="S610" s="34">
        <v>21.65</v>
      </c>
      <c r="T610" s="35">
        <v>0.633</v>
      </c>
      <c r="U610" s="35">
        <v>0.633</v>
      </c>
      <c r="V610" s="35">
        <v>0.91</v>
      </c>
      <c r="W610" s="35">
        <v>0.91</v>
      </c>
      <c r="X610" s="34">
        <v>21.65</v>
      </c>
      <c r="Y610" s="31"/>
      <c r="Z610" s="31"/>
      <c r="AA610" s="31"/>
      <c r="AB610" s="31"/>
    </row>
    <row r="611" customHeight="1" spans="1:28">
      <c r="A611" s="6" t="s">
        <v>475</v>
      </c>
      <c r="B611" s="6" t="str">
        <f t="shared" si="9"/>
        <v>43115-DT1EJ20250101-A-JIEU8018198-PARTS</v>
      </c>
      <c r="C611" s="29" t="s">
        <v>80</v>
      </c>
      <c r="D611" s="30" t="s">
        <v>81</v>
      </c>
      <c r="E611" s="30" t="s">
        <v>465</v>
      </c>
      <c r="F611" s="30" t="s">
        <v>466</v>
      </c>
      <c r="G611" s="31" t="s">
        <v>84</v>
      </c>
      <c r="H611" s="31"/>
      <c r="I611" s="31" t="s">
        <v>85</v>
      </c>
      <c r="J611" s="31" t="s">
        <v>474</v>
      </c>
      <c r="K611" s="31" t="s">
        <v>93</v>
      </c>
      <c r="L611" s="31">
        <v>8708299009</v>
      </c>
      <c r="M611" s="32" t="s">
        <v>94</v>
      </c>
      <c r="N611" s="33" t="s">
        <v>95</v>
      </c>
      <c r="O611" s="31">
        <v>1</v>
      </c>
      <c r="P611" s="34">
        <v>19.64</v>
      </c>
      <c r="Q611" s="34">
        <v>1.57</v>
      </c>
      <c r="R611" s="34">
        <v>0.05</v>
      </c>
      <c r="S611" s="34">
        <v>21.26</v>
      </c>
      <c r="T611" s="35">
        <v>0.622</v>
      </c>
      <c r="U611" s="35">
        <v>0.622</v>
      </c>
      <c r="V611" s="35">
        <v>0.9</v>
      </c>
      <c r="W611" s="35">
        <v>0.9</v>
      </c>
      <c r="X611" s="34">
        <v>21.26</v>
      </c>
      <c r="Y611" s="31"/>
      <c r="Z611" s="31"/>
      <c r="AA611" s="31"/>
      <c r="AB611" s="31"/>
    </row>
    <row r="612" customHeight="1" spans="1:28">
      <c r="B612" s="6" t="str">
        <f t="shared" si="9"/>
        <v>43115-DT1EJ20250101-A-JIEU8018198-PARTS</v>
      </c>
      <c r="C612" s="29" t="s">
        <v>80</v>
      </c>
      <c r="D612" s="30" t="s">
        <v>81</v>
      </c>
      <c r="E612" s="30" t="s">
        <v>465</v>
      </c>
      <c r="F612" s="30" t="s">
        <v>466</v>
      </c>
      <c r="G612" s="31" t="s">
        <v>84</v>
      </c>
      <c r="H612" s="31"/>
      <c r="I612" s="31" t="s">
        <v>85</v>
      </c>
      <c r="J612" s="31" t="s">
        <v>474</v>
      </c>
      <c r="K612" s="31" t="s">
        <v>87</v>
      </c>
      <c r="L612" s="31">
        <v>8708999709</v>
      </c>
      <c r="M612" s="32" t="s">
        <v>88</v>
      </c>
      <c r="N612" s="33" t="s">
        <v>89</v>
      </c>
      <c r="O612" s="31">
        <v>1</v>
      </c>
      <c r="P612" s="34">
        <v>831.11</v>
      </c>
      <c r="Q612" s="34">
        <v>66.62</v>
      </c>
      <c r="R612" s="34">
        <v>1.92</v>
      </c>
      <c r="S612" s="34">
        <v>899.65</v>
      </c>
      <c r="T612" s="35">
        <v>7.824</v>
      </c>
      <c r="U612" s="35">
        <v>7.824</v>
      </c>
      <c r="V612" s="35">
        <v>11.27</v>
      </c>
      <c r="W612" s="35">
        <v>11.27</v>
      </c>
      <c r="X612" s="34">
        <v>899.65</v>
      </c>
      <c r="Y612" s="31"/>
      <c r="Z612" s="31"/>
      <c r="AA612" s="31"/>
      <c r="AB612" s="31"/>
    </row>
    <row r="613" customHeight="1" spans="1:28">
      <c r="B613" s="6" t="str">
        <f t="shared" si="9"/>
        <v>43115-DT1EJ20250101-A-JIEU8018198-PARTS</v>
      </c>
      <c r="C613" s="29" t="s">
        <v>80</v>
      </c>
      <c r="D613" s="30" t="s">
        <v>81</v>
      </c>
      <c r="E613" s="30" t="s">
        <v>465</v>
      </c>
      <c r="F613" s="30" t="s">
        <v>466</v>
      </c>
      <c r="G613" s="31" t="s">
        <v>84</v>
      </c>
      <c r="H613" s="31"/>
      <c r="I613" s="31" t="s">
        <v>85</v>
      </c>
      <c r="J613" s="31" t="s">
        <v>474</v>
      </c>
      <c r="K613" s="31" t="s">
        <v>90</v>
      </c>
      <c r="L613" s="31">
        <v>8708299009</v>
      </c>
      <c r="M613" s="32" t="s">
        <v>91</v>
      </c>
      <c r="N613" s="33" t="s">
        <v>92</v>
      </c>
      <c r="O613" s="31">
        <v>1</v>
      </c>
      <c r="P613" s="34">
        <v>20</v>
      </c>
      <c r="Q613" s="34">
        <v>1.6</v>
      </c>
      <c r="R613" s="34">
        <v>0.05</v>
      </c>
      <c r="S613" s="34">
        <v>21.65</v>
      </c>
      <c r="T613" s="35">
        <v>0.633</v>
      </c>
      <c r="U613" s="35">
        <v>0.633</v>
      </c>
      <c r="V613" s="35">
        <v>0.91</v>
      </c>
      <c r="W613" s="35">
        <v>0.91</v>
      </c>
      <c r="X613" s="34">
        <v>21.65</v>
      </c>
      <c r="Y613" s="31"/>
      <c r="Z613" s="31"/>
      <c r="AA613" s="31"/>
      <c r="AB613" s="31"/>
    </row>
    <row r="614" customHeight="1" spans="1:28">
      <c r="B614" s="6" t="str">
        <f t="shared" si="9"/>
        <v>43115-DT1EJ20250101-A-JIEU8018198-PARTS</v>
      </c>
      <c r="C614" s="29" t="s">
        <v>80</v>
      </c>
      <c r="D614" s="30" t="s">
        <v>81</v>
      </c>
      <c r="E614" s="30" t="s">
        <v>465</v>
      </c>
      <c r="F614" s="30" t="s">
        <v>466</v>
      </c>
      <c r="G614" s="31" t="s">
        <v>84</v>
      </c>
      <c r="H614" s="31"/>
      <c r="I614" s="31" t="s">
        <v>85</v>
      </c>
      <c r="J614" s="31" t="s">
        <v>474</v>
      </c>
      <c r="K614" s="31" t="s">
        <v>93</v>
      </c>
      <c r="L614" s="31">
        <v>8708299009</v>
      </c>
      <c r="M614" s="32" t="s">
        <v>94</v>
      </c>
      <c r="N614" s="33" t="s">
        <v>95</v>
      </c>
      <c r="O614" s="31">
        <v>1</v>
      </c>
      <c r="P614" s="34">
        <v>19.64</v>
      </c>
      <c r="Q614" s="34">
        <v>1.57</v>
      </c>
      <c r="R614" s="34">
        <v>0.05</v>
      </c>
      <c r="S614" s="34">
        <v>21.26</v>
      </c>
      <c r="T614" s="35">
        <v>0.622</v>
      </c>
      <c r="U614" s="35">
        <v>0.622</v>
      </c>
      <c r="V614" s="35">
        <v>0.9</v>
      </c>
      <c r="W614" s="35">
        <v>0.9</v>
      </c>
      <c r="X614" s="34">
        <v>21.26</v>
      </c>
      <c r="Y614" s="31"/>
      <c r="Z614" s="31"/>
      <c r="AA614" s="31"/>
      <c r="AB614" s="31"/>
    </row>
    <row r="615" customHeight="1" spans="1:28">
      <c r="B615" s="6" t="str">
        <f t="shared" si="9"/>
        <v>43115-DT1EJ20250101-A-JIEU8018198-PARTS</v>
      </c>
      <c r="C615" s="29" t="s">
        <v>80</v>
      </c>
      <c r="D615" s="30" t="s">
        <v>81</v>
      </c>
      <c r="E615" s="30" t="s">
        <v>465</v>
      </c>
      <c r="F615" s="30" t="s">
        <v>466</v>
      </c>
      <c r="G615" s="31" t="s">
        <v>84</v>
      </c>
      <c r="H615" s="31"/>
      <c r="I615" s="31" t="s">
        <v>85</v>
      </c>
      <c r="J615" s="31" t="s">
        <v>474</v>
      </c>
      <c r="K615" s="31" t="s">
        <v>87</v>
      </c>
      <c r="L615" s="31">
        <v>8708999709</v>
      </c>
      <c r="M615" s="32" t="s">
        <v>88</v>
      </c>
      <c r="N615" s="33" t="s">
        <v>89</v>
      </c>
      <c r="O615" s="31">
        <v>1</v>
      </c>
      <c r="P615" s="34">
        <v>831.11</v>
      </c>
      <c r="Q615" s="34">
        <v>66.62</v>
      </c>
      <c r="R615" s="34">
        <v>1.92</v>
      </c>
      <c r="S615" s="34">
        <v>899.65</v>
      </c>
      <c r="T615" s="35">
        <v>7.824</v>
      </c>
      <c r="U615" s="35">
        <v>7.824</v>
      </c>
      <c r="V615" s="35">
        <v>11.27</v>
      </c>
      <c r="W615" s="35">
        <v>11.27</v>
      </c>
      <c r="X615" s="34">
        <v>899.65</v>
      </c>
      <c r="Y615" s="31"/>
      <c r="Z615" s="31"/>
      <c r="AA615" s="31"/>
      <c r="AB615" s="31"/>
    </row>
    <row r="616" customHeight="1" spans="1:28">
      <c r="B616" s="6" t="str">
        <f t="shared" si="9"/>
        <v>43115-DT1EJ20250101-A-JIEU8018198-PARTS</v>
      </c>
      <c r="C616" s="29" t="s">
        <v>80</v>
      </c>
      <c r="D616" s="30" t="s">
        <v>81</v>
      </c>
      <c r="E616" s="30" t="s">
        <v>465</v>
      </c>
      <c r="F616" s="30" t="s">
        <v>466</v>
      </c>
      <c r="G616" s="31" t="s">
        <v>84</v>
      </c>
      <c r="H616" s="31"/>
      <c r="I616" s="31" t="s">
        <v>85</v>
      </c>
      <c r="J616" s="31" t="s">
        <v>474</v>
      </c>
      <c r="K616" s="31" t="s">
        <v>90</v>
      </c>
      <c r="L616" s="31">
        <v>8708299009</v>
      </c>
      <c r="M616" s="32" t="s">
        <v>91</v>
      </c>
      <c r="N616" s="33" t="s">
        <v>92</v>
      </c>
      <c r="O616" s="31">
        <v>1</v>
      </c>
      <c r="P616" s="34">
        <v>20</v>
      </c>
      <c r="Q616" s="34">
        <v>1.6</v>
      </c>
      <c r="R616" s="34">
        <v>0.05</v>
      </c>
      <c r="S616" s="34">
        <v>21.65</v>
      </c>
      <c r="T616" s="35">
        <v>0.633</v>
      </c>
      <c r="U616" s="35">
        <v>0.633</v>
      </c>
      <c r="V616" s="35">
        <v>0.91</v>
      </c>
      <c r="W616" s="35">
        <v>0.91</v>
      </c>
      <c r="X616" s="34">
        <v>21.65</v>
      </c>
      <c r="Y616" s="31"/>
      <c r="Z616" s="31"/>
      <c r="AA616" s="31"/>
      <c r="AB616" s="31"/>
    </row>
    <row r="617" customHeight="1" spans="1:28">
      <c r="B617" s="6" t="str">
        <f t="shared" si="9"/>
        <v>43115-DT1EJ20250101-A-JIEU8018198-PARTS</v>
      </c>
      <c r="C617" s="29" t="s">
        <v>80</v>
      </c>
      <c r="D617" s="30" t="s">
        <v>81</v>
      </c>
      <c r="E617" s="30" t="s">
        <v>465</v>
      </c>
      <c r="F617" s="30" t="s">
        <v>466</v>
      </c>
      <c r="G617" s="31" t="s">
        <v>84</v>
      </c>
      <c r="H617" s="31"/>
      <c r="I617" s="31" t="s">
        <v>85</v>
      </c>
      <c r="J617" s="31" t="s">
        <v>474</v>
      </c>
      <c r="K617" s="31" t="s">
        <v>93</v>
      </c>
      <c r="L617" s="31">
        <v>8708299009</v>
      </c>
      <c r="M617" s="32" t="s">
        <v>94</v>
      </c>
      <c r="N617" s="33" t="s">
        <v>95</v>
      </c>
      <c r="O617" s="31">
        <v>1</v>
      </c>
      <c r="P617" s="34">
        <v>19.64</v>
      </c>
      <c r="Q617" s="34">
        <v>1.57</v>
      </c>
      <c r="R617" s="34">
        <v>0.05</v>
      </c>
      <c r="S617" s="34">
        <v>21.26</v>
      </c>
      <c r="T617" s="35">
        <v>0.622</v>
      </c>
      <c r="U617" s="35">
        <v>0.622</v>
      </c>
      <c r="V617" s="35">
        <v>0.9</v>
      </c>
      <c r="W617" s="35">
        <v>0.9</v>
      </c>
      <c r="X617" s="34">
        <v>21.26</v>
      </c>
      <c r="Y617" s="31"/>
      <c r="Z617" s="31"/>
      <c r="AA617" s="31"/>
      <c r="AB617" s="31"/>
    </row>
    <row r="618" customHeight="1" spans="1:28">
      <c r="B618" s="6" t="str">
        <f t="shared" si="9"/>
        <v>43115-DT1EJ20250101-A-JIEU8018198-PARTS</v>
      </c>
      <c r="C618" t="s">
        <v>80</v>
      </c>
      <c r="D618" t="s">
        <v>81</v>
      </c>
      <c r="E618" t="s">
        <v>465</v>
      </c>
      <c r="F618" t="s">
        <v>466</v>
      </c>
      <c r="G618" s="1" t="s">
        <v>84</v>
      </c>
      <c r="I618" s="1" t="s">
        <v>85</v>
      </c>
      <c r="J618" s="1" t="s">
        <v>474</v>
      </c>
      <c r="K618" s="1" t="s">
        <v>87</v>
      </c>
      <c r="L618">
        <v>8708999709</v>
      </c>
      <c r="M618" s="2" t="s">
        <v>88</v>
      </c>
      <c r="N618" s="3" t="s">
        <v>89</v>
      </c>
      <c r="O618" s="1">
        <v>1</v>
      </c>
      <c r="P618" s="4">
        <v>831.11</v>
      </c>
      <c r="Q618" s="4">
        <v>66.62</v>
      </c>
      <c r="R618" s="4">
        <v>1.92</v>
      </c>
      <c r="S618" s="4">
        <v>899.65</v>
      </c>
      <c r="T618" s="5">
        <v>7.824</v>
      </c>
      <c r="U618" s="5">
        <v>7.824</v>
      </c>
      <c r="V618" s="5">
        <v>11.27</v>
      </c>
      <c r="W618" s="5">
        <v>11.27</v>
      </c>
      <c r="X618" s="4">
        <v>899.65</v>
      </c>
    </row>
    <row r="619" customHeight="1" spans="1:28">
      <c r="B619" s="6" t="str">
        <f t="shared" si="9"/>
        <v>43115-DT1EJ20250101-A-JIEU8018198-PARTS</v>
      </c>
      <c r="C619" t="s">
        <v>80</v>
      </c>
      <c r="D619" t="s">
        <v>81</v>
      </c>
      <c r="E619" t="s">
        <v>465</v>
      </c>
      <c r="F619" t="s">
        <v>466</v>
      </c>
      <c r="G619" s="1" t="s">
        <v>84</v>
      </c>
      <c r="I619" s="1" t="s">
        <v>85</v>
      </c>
      <c r="J619" s="1" t="s">
        <v>474</v>
      </c>
      <c r="K619" s="1" t="s">
        <v>90</v>
      </c>
      <c r="L619">
        <v>8708299009</v>
      </c>
      <c r="M619" s="2" t="s">
        <v>91</v>
      </c>
      <c r="N619" s="3" t="s">
        <v>92</v>
      </c>
      <c r="O619" s="1">
        <v>1</v>
      </c>
      <c r="P619" s="4">
        <v>20</v>
      </c>
      <c r="Q619" s="4">
        <v>1.6</v>
      </c>
      <c r="R619" s="4">
        <v>0.05</v>
      </c>
      <c r="S619" s="4">
        <v>21.65</v>
      </c>
      <c r="T619" s="5">
        <v>0.633</v>
      </c>
      <c r="U619" s="5">
        <v>0.633</v>
      </c>
      <c r="V619" s="5">
        <v>0.91</v>
      </c>
      <c r="W619" s="5">
        <v>0.91</v>
      </c>
      <c r="X619" s="4">
        <v>21.65</v>
      </c>
    </row>
    <row r="620" customHeight="1" spans="1:28">
      <c r="B620" s="6" t="str">
        <f t="shared" si="9"/>
        <v>43115-DT1EJ20250101-A-JIEU8018198-PARTS</v>
      </c>
      <c r="C620" t="s">
        <v>80</v>
      </c>
      <c r="D620" t="s">
        <v>81</v>
      </c>
      <c r="E620" t="s">
        <v>465</v>
      </c>
      <c r="F620" t="s">
        <v>466</v>
      </c>
      <c r="G620" s="1" t="s">
        <v>84</v>
      </c>
      <c r="I620" s="1" t="s">
        <v>85</v>
      </c>
      <c r="J620" s="1" t="s">
        <v>474</v>
      </c>
      <c r="K620" s="1" t="s">
        <v>93</v>
      </c>
      <c r="L620">
        <v>8708299009</v>
      </c>
      <c r="M620" s="2" t="s">
        <v>94</v>
      </c>
      <c r="N620" s="3" t="s">
        <v>95</v>
      </c>
      <c r="O620" s="1">
        <v>1</v>
      </c>
      <c r="P620" s="4">
        <v>19.64</v>
      </c>
      <c r="Q620" s="4">
        <v>1.57</v>
      </c>
      <c r="R620" s="4">
        <v>0.05</v>
      </c>
      <c r="S620" s="4">
        <v>21.26</v>
      </c>
      <c r="T620" s="5">
        <v>0.622</v>
      </c>
      <c r="U620" s="5">
        <v>0.622</v>
      </c>
      <c r="V620" s="5">
        <v>0.9</v>
      </c>
      <c r="W620" s="5">
        <v>0.9</v>
      </c>
      <c r="X620" s="4">
        <v>21.26</v>
      </c>
    </row>
    <row r="621" customHeight="1" spans="1:28">
      <c r="B621" s="6" t="str">
        <f t="shared" si="9"/>
        <v>43115-DT1EJ20250101-A-JIEU8018198-PARTS</v>
      </c>
      <c r="C621" t="s">
        <v>80</v>
      </c>
      <c r="D621" t="s">
        <v>81</v>
      </c>
      <c r="E621" t="s">
        <v>465</v>
      </c>
      <c r="F621" t="s">
        <v>466</v>
      </c>
      <c r="G621" s="1" t="s">
        <v>84</v>
      </c>
      <c r="I621" s="1" t="s">
        <v>85</v>
      </c>
      <c r="J621" s="1" t="s">
        <v>474</v>
      </c>
      <c r="K621" s="1" t="s">
        <v>87</v>
      </c>
      <c r="L621">
        <v>8708999709</v>
      </c>
      <c r="M621" s="2" t="s">
        <v>88</v>
      </c>
      <c r="N621" s="3" t="s">
        <v>89</v>
      </c>
      <c r="O621" s="1">
        <v>1</v>
      </c>
      <c r="P621" s="4">
        <v>831.11</v>
      </c>
      <c r="Q621" s="4">
        <v>66.62</v>
      </c>
      <c r="R621" s="4">
        <v>1.92</v>
      </c>
      <c r="S621" s="4">
        <v>899.65</v>
      </c>
      <c r="T621" s="5">
        <v>7.824</v>
      </c>
      <c r="U621" s="5">
        <v>7.824</v>
      </c>
      <c r="V621" s="5">
        <v>11.27</v>
      </c>
      <c r="W621" s="5">
        <v>11.27</v>
      </c>
      <c r="X621" s="4">
        <v>899.65</v>
      </c>
    </row>
    <row r="622" customHeight="1" spans="1:28">
      <c r="B622" s="6" t="str">
        <f t="shared" si="9"/>
        <v>43115-DT1EJ20250101-A-JIEU8018198-PARTS</v>
      </c>
      <c r="C622" s="29" t="s">
        <v>80</v>
      </c>
      <c r="D622" s="30" t="s">
        <v>81</v>
      </c>
      <c r="E622" s="30" t="s">
        <v>465</v>
      </c>
      <c r="F622" s="30" t="s">
        <v>466</v>
      </c>
      <c r="G622" s="31" t="s">
        <v>84</v>
      </c>
      <c r="H622" s="31"/>
      <c r="I622" s="31" t="s">
        <v>85</v>
      </c>
      <c r="J622" s="31" t="s">
        <v>474</v>
      </c>
      <c r="K622" s="31" t="s">
        <v>90</v>
      </c>
      <c r="L622" s="31">
        <v>8708299009</v>
      </c>
      <c r="M622" s="32" t="s">
        <v>91</v>
      </c>
      <c r="N622" s="33" t="s">
        <v>92</v>
      </c>
      <c r="O622" s="31">
        <v>1</v>
      </c>
      <c r="P622" s="34">
        <v>20</v>
      </c>
      <c r="Q622" s="34">
        <v>1.6</v>
      </c>
      <c r="R622" s="34">
        <v>0.05</v>
      </c>
      <c r="S622" s="34">
        <v>21.65</v>
      </c>
      <c r="T622" s="35">
        <v>0.633</v>
      </c>
      <c r="U622" s="35">
        <v>0.633</v>
      </c>
      <c r="V622" s="35">
        <v>0.91</v>
      </c>
      <c r="W622" s="35">
        <v>0.91</v>
      </c>
      <c r="X622" s="34">
        <v>21.65</v>
      </c>
      <c r="Y622" s="31"/>
      <c r="Z622" s="31"/>
      <c r="AA622" s="31"/>
      <c r="AB622" s="31"/>
    </row>
    <row r="623" customHeight="1" spans="1:28">
      <c r="B623" s="6" t="str">
        <f t="shared" si="9"/>
        <v>43115-DT1EJ20250101-A-JIEU8018198-PARTS</v>
      </c>
      <c r="C623" s="29" t="s">
        <v>80</v>
      </c>
      <c r="D623" s="30" t="s">
        <v>81</v>
      </c>
      <c r="E623" s="30" t="s">
        <v>465</v>
      </c>
      <c r="F623" s="30" t="s">
        <v>466</v>
      </c>
      <c r="G623" s="31" t="s">
        <v>84</v>
      </c>
      <c r="H623" s="31"/>
      <c r="I623" s="31" t="s">
        <v>85</v>
      </c>
      <c r="J623" s="31" t="s">
        <v>474</v>
      </c>
      <c r="K623" s="31" t="s">
        <v>93</v>
      </c>
      <c r="L623" s="31">
        <v>8708299009</v>
      </c>
      <c r="M623" s="32" t="s">
        <v>94</v>
      </c>
      <c r="N623" s="33" t="s">
        <v>95</v>
      </c>
      <c r="O623" s="31">
        <v>1</v>
      </c>
      <c r="P623" s="34">
        <v>19.64</v>
      </c>
      <c r="Q623" s="34">
        <v>1.57</v>
      </c>
      <c r="R623" s="34">
        <v>0.05</v>
      </c>
      <c r="S623" s="34">
        <v>21.26</v>
      </c>
      <c r="T623" s="35">
        <v>0.622</v>
      </c>
      <c r="U623" s="35">
        <v>0.622</v>
      </c>
      <c r="V623" s="35">
        <v>0.9</v>
      </c>
      <c r="W623" s="35">
        <v>0.9</v>
      </c>
      <c r="X623" s="34">
        <v>21.26</v>
      </c>
      <c r="Y623" s="31"/>
      <c r="Z623" s="31"/>
      <c r="AA623" s="31"/>
      <c r="AB623" s="31"/>
    </row>
    <row r="624" customHeight="1" spans="1:28">
      <c r="B624" s="6" t="str">
        <f t="shared" si="9"/>
        <v>43115-DT1EJ20250101-A-JIEU8018198-PARTS</v>
      </c>
      <c r="C624" s="29" t="s">
        <v>80</v>
      </c>
      <c r="D624" s="30" t="s">
        <v>81</v>
      </c>
      <c r="E624" s="30" t="s">
        <v>465</v>
      </c>
      <c r="F624" s="30" t="s">
        <v>466</v>
      </c>
      <c r="G624" s="31" t="s">
        <v>84</v>
      </c>
      <c r="H624" s="31"/>
      <c r="I624" s="31" t="s">
        <v>85</v>
      </c>
      <c r="J624" s="31" t="s">
        <v>476</v>
      </c>
      <c r="K624" s="31" t="s">
        <v>87</v>
      </c>
      <c r="L624" s="31">
        <v>8708999709</v>
      </c>
      <c r="M624" s="32" t="s">
        <v>88</v>
      </c>
      <c r="N624" s="33" t="s">
        <v>89</v>
      </c>
      <c r="O624" s="31">
        <v>1</v>
      </c>
      <c r="P624" s="34">
        <v>831.11</v>
      </c>
      <c r="Q624" s="34">
        <v>66.62</v>
      </c>
      <c r="R624" s="34">
        <v>1.92</v>
      </c>
      <c r="S624" s="34">
        <v>899.65</v>
      </c>
      <c r="T624" s="35">
        <v>7.824</v>
      </c>
      <c r="U624" s="35">
        <v>7.824</v>
      </c>
      <c r="V624" s="35">
        <v>11.27</v>
      </c>
      <c r="W624" s="35">
        <v>11.27</v>
      </c>
      <c r="X624" s="34">
        <v>899.65</v>
      </c>
      <c r="Y624" s="31">
        <v>2280</v>
      </c>
      <c r="Z624" s="31">
        <v>1100</v>
      </c>
      <c r="AA624" s="31">
        <v>2420</v>
      </c>
      <c r="AB624" s="31">
        <v>6.07</v>
      </c>
    </row>
    <row r="625" customHeight="1" spans="1:28">
      <c r="B625" s="6" t="str">
        <f t="shared" si="9"/>
        <v>43115-DT1EJ20250101-A-JIEU8018198-PARTS</v>
      </c>
      <c r="C625" s="29" t="s">
        <v>80</v>
      </c>
      <c r="D625" s="30" t="s">
        <v>81</v>
      </c>
      <c r="E625" s="30" t="s">
        <v>465</v>
      </c>
      <c r="F625" s="30" t="s">
        <v>466</v>
      </c>
      <c r="G625" s="31" t="s">
        <v>84</v>
      </c>
      <c r="H625" s="31"/>
      <c r="I625" s="31" t="s">
        <v>85</v>
      </c>
      <c r="J625" s="31" t="s">
        <v>476</v>
      </c>
      <c r="K625" s="31" t="s">
        <v>90</v>
      </c>
      <c r="L625" s="31">
        <v>8708299009</v>
      </c>
      <c r="M625" s="32" t="s">
        <v>91</v>
      </c>
      <c r="N625" s="33" t="s">
        <v>92</v>
      </c>
      <c r="O625" s="31">
        <v>1</v>
      </c>
      <c r="P625" s="34">
        <v>20</v>
      </c>
      <c r="Q625" s="34">
        <v>1.6</v>
      </c>
      <c r="R625" s="34">
        <v>0.05</v>
      </c>
      <c r="S625" s="34">
        <v>21.65</v>
      </c>
      <c r="T625" s="35">
        <v>0.633</v>
      </c>
      <c r="U625" s="35">
        <v>0.633</v>
      </c>
      <c r="V625" s="35">
        <v>0.91</v>
      </c>
      <c r="W625" s="35">
        <v>0.91</v>
      </c>
      <c r="X625" s="34">
        <v>21.65</v>
      </c>
      <c r="Y625" s="31"/>
      <c r="Z625" s="31"/>
      <c r="AA625" s="31"/>
      <c r="AB625" s="31"/>
    </row>
    <row r="626" customHeight="1" spans="1:28">
      <c r="B626" s="6" t="str">
        <f t="shared" si="9"/>
        <v>43115-DT1EJ20250101-A-JIEU8018198-PARTS</v>
      </c>
      <c r="C626" s="29" t="s">
        <v>80</v>
      </c>
      <c r="D626" s="30" t="s">
        <v>81</v>
      </c>
      <c r="E626" s="30" t="s">
        <v>465</v>
      </c>
      <c r="F626" s="30" t="s">
        <v>466</v>
      </c>
      <c r="G626" s="31" t="s">
        <v>84</v>
      </c>
      <c r="H626" s="31"/>
      <c r="I626" s="31" t="s">
        <v>85</v>
      </c>
      <c r="J626" s="31" t="s">
        <v>476</v>
      </c>
      <c r="K626" s="31" t="s">
        <v>93</v>
      </c>
      <c r="L626" s="31">
        <v>8708299009</v>
      </c>
      <c r="M626" s="32" t="s">
        <v>94</v>
      </c>
      <c r="N626" s="33" t="s">
        <v>95</v>
      </c>
      <c r="O626" s="31">
        <v>1</v>
      </c>
      <c r="P626" s="34">
        <v>19.64</v>
      </c>
      <c r="Q626" s="34">
        <v>1.57</v>
      </c>
      <c r="R626" s="34">
        <v>0.05</v>
      </c>
      <c r="S626" s="34">
        <v>21.26</v>
      </c>
      <c r="T626" s="35">
        <v>0.622</v>
      </c>
      <c r="U626" s="35">
        <v>0.622</v>
      </c>
      <c r="V626" s="35">
        <v>0.9</v>
      </c>
      <c r="W626" s="35">
        <v>0.9</v>
      </c>
      <c r="X626" s="34">
        <v>21.26</v>
      </c>
      <c r="Y626" s="31"/>
      <c r="Z626" s="31"/>
      <c r="AA626" s="31"/>
      <c r="AB626" s="31"/>
    </row>
    <row r="627" customHeight="1" spans="1:28">
      <c r="B627" s="6" t="str">
        <f t="shared" si="9"/>
        <v>43115-DT1EJ20250101-A-JIEU8018198-PARTS</v>
      </c>
      <c r="C627" s="29" t="s">
        <v>80</v>
      </c>
      <c r="D627" s="30" t="s">
        <v>81</v>
      </c>
      <c r="E627" s="30" t="s">
        <v>465</v>
      </c>
      <c r="F627" s="30" t="s">
        <v>466</v>
      </c>
      <c r="G627" s="31" t="s">
        <v>84</v>
      </c>
      <c r="H627" s="31"/>
      <c r="I627" s="31" t="s">
        <v>85</v>
      </c>
      <c r="J627" s="31" t="s">
        <v>476</v>
      </c>
      <c r="K627" s="31" t="s">
        <v>87</v>
      </c>
      <c r="L627" s="31">
        <v>8708999709</v>
      </c>
      <c r="M627" s="32" t="s">
        <v>88</v>
      </c>
      <c r="N627" s="33" t="s">
        <v>89</v>
      </c>
      <c r="O627" s="31">
        <v>1</v>
      </c>
      <c r="P627" s="34">
        <v>831.11</v>
      </c>
      <c r="Q627" s="34">
        <v>66.62</v>
      </c>
      <c r="R627" s="34">
        <v>1.92</v>
      </c>
      <c r="S627" s="34">
        <v>899.65</v>
      </c>
      <c r="T627" s="35">
        <v>7.824</v>
      </c>
      <c r="U627" s="35">
        <v>7.824</v>
      </c>
      <c r="V627" s="35">
        <v>11.27</v>
      </c>
      <c r="W627" s="35">
        <v>11.27</v>
      </c>
      <c r="X627" s="34">
        <v>899.65</v>
      </c>
      <c r="Y627" s="31"/>
      <c r="Z627" s="31"/>
      <c r="AA627" s="31"/>
      <c r="AB627" s="31"/>
    </row>
    <row r="628" customHeight="1" spans="1:28">
      <c r="B628" s="6" t="str">
        <f t="shared" si="9"/>
        <v>43115-DT1EJ20250101-A-JIEU8018198-PARTS</v>
      </c>
      <c r="C628" s="29" t="s">
        <v>80</v>
      </c>
      <c r="D628" s="30" t="s">
        <v>81</v>
      </c>
      <c r="E628" s="30" t="s">
        <v>465</v>
      </c>
      <c r="F628" s="30" t="s">
        <v>466</v>
      </c>
      <c r="G628" s="31" t="s">
        <v>84</v>
      </c>
      <c r="H628" s="31"/>
      <c r="I628" s="31" t="s">
        <v>85</v>
      </c>
      <c r="J628" s="31" t="s">
        <v>476</v>
      </c>
      <c r="K628" s="31" t="s">
        <v>90</v>
      </c>
      <c r="L628" s="31">
        <v>8708299009</v>
      </c>
      <c r="M628" s="32" t="s">
        <v>91</v>
      </c>
      <c r="N628" s="33" t="s">
        <v>92</v>
      </c>
      <c r="O628" s="31">
        <v>1</v>
      </c>
      <c r="P628" s="34">
        <v>20</v>
      </c>
      <c r="Q628" s="34">
        <v>1.6</v>
      </c>
      <c r="R628" s="34">
        <v>0.05</v>
      </c>
      <c r="S628" s="34">
        <v>21.65</v>
      </c>
      <c r="T628" s="35">
        <v>0.633</v>
      </c>
      <c r="U628" s="35">
        <v>0.633</v>
      </c>
      <c r="V628" s="35">
        <v>0.91</v>
      </c>
      <c r="W628" s="35">
        <v>0.91</v>
      </c>
      <c r="X628" s="34">
        <v>21.65</v>
      </c>
      <c r="Y628" s="31"/>
      <c r="Z628" s="31"/>
      <c r="AA628" s="31"/>
      <c r="AB628" s="31"/>
    </row>
    <row r="629" customHeight="1" spans="1:28">
      <c r="B629" s="6" t="str">
        <f t="shared" si="9"/>
        <v>43115-DT1EJ20250101-A-JIEU8018198-PARTS</v>
      </c>
      <c r="C629" s="29" t="s">
        <v>80</v>
      </c>
      <c r="D629" s="30" t="s">
        <v>81</v>
      </c>
      <c r="E629" s="30" t="s">
        <v>465</v>
      </c>
      <c r="F629" s="30" t="s">
        <v>466</v>
      </c>
      <c r="G629" s="31" t="s">
        <v>84</v>
      </c>
      <c r="H629" s="31"/>
      <c r="I629" s="31" t="s">
        <v>85</v>
      </c>
      <c r="J629" s="31" t="s">
        <v>476</v>
      </c>
      <c r="K629" s="31" t="s">
        <v>93</v>
      </c>
      <c r="L629" s="31">
        <v>8708299009</v>
      </c>
      <c r="M629" s="32" t="s">
        <v>94</v>
      </c>
      <c r="N629" s="33" t="s">
        <v>95</v>
      </c>
      <c r="O629" s="31">
        <v>1</v>
      </c>
      <c r="P629" s="34">
        <v>19.64</v>
      </c>
      <c r="Q629" s="34">
        <v>1.57</v>
      </c>
      <c r="R629" s="34">
        <v>0.05</v>
      </c>
      <c r="S629" s="34">
        <v>21.26</v>
      </c>
      <c r="T629" s="35">
        <v>0.622</v>
      </c>
      <c r="U629" s="35">
        <v>0.622</v>
      </c>
      <c r="V629" s="35">
        <v>0.9</v>
      </c>
      <c r="W629" s="35">
        <v>0.9</v>
      </c>
      <c r="X629" s="34">
        <v>21.26</v>
      </c>
      <c r="Y629" s="31"/>
      <c r="Z629" s="31"/>
      <c r="AA629" s="31"/>
      <c r="AB629" s="31"/>
    </row>
    <row r="630" customHeight="1" spans="1:28">
      <c r="B630" s="6" t="str">
        <f t="shared" si="9"/>
        <v>43115-DT1EJ20250101-A-JIEU8018198-PARTS</v>
      </c>
      <c r="C630" t="s">
        <v>80</v>
      </c>
      <c r="D630" t="s">
        <v>81</v>
      </c>
      <c r="E630" t="s">
        <v>465</v>
      </c>
      <c r="F630" t="s">
        <v>466</v>
      </c>
      <c r="G630" s="1" t="s">
        <v>84</v>
      </c>
      <c r="I630" s="1" t="s">
        <v>85</v>
      </c>
      <c r="J630" s="1" t="s">
        <v>476</v>
      </c>
      <c r="K630" s="1" t="s">
        <v>87</v>
      </c>
      <c r="L630">
        <v>8708999709</v>
      </c>
      <c r="M630" s="2" t="s">
        <v>88</v>
      </c>
      <c r="N630" s="3" t="s">
        <v>89</v>
      </c>
      <c r="O630" s="1">
        <v>1</v>
      </c>
      <c r="P630" s="4">
        <v>831.11</v>
      </c>
      <c r="Q630" s="4">
        <v>66.62</v>
      </c>
      <c r="R630" s="4">
        <v>1.92</v>
      </c>
      <c r="S630" s="4">
        <v>899.65</v>
      </c>
      <c r="T630" s="5">
        <v>7.824</v>
      </c>
      <c r="U630" s="5">
        <v>7.824</v>
      </c>
      <c r="V630" s="5">
        <v>11.27</v>
      </c>
      <c r="W630" s="5">
        <v>11.27</v>
      </c>
      <c r="X630" s="4">
        <v>899.65</v>
      </c>
    </row>
    <row r="631" customHeight="1" spans="1:28">
      <c r="B631" s="6" t="str">
        <f t="shared" si="9"/>
        <v>43115-DT1EJ20250101-A-JIEU8018198-PARTS</v>
      </c>
      <c r="C631" t="s">
        <v>80</v>
      </c>
      <c r="D631" t="s">
        <v>81</v>
      </c>
      <c r="E631" t="s">
        <v>465</v>
      </c>
      <c r="F631" t="s">
        <v>466</v>
      </c>
      <c r="G631" s="1" t="s">
        <v>84</v>
      </c>
      <c r="I631" s="1" t="s">
        <v>85</v>
      </c>
      <c r="J631" s="1" t="s">
        <v>476</v>
      </c>
      <c r="K631" s="1" t="s">
        <v>90</v>
      </c>
      <c r="L631">
        <v>8708299009</v>
      </c>
      <c r="M631" s="2" t="s">
        <v>91</v>
      </c>
      <c r="N631" s="3" t="s">
        <v>92</v>
      </c>
      <c r="O631" s="1">
        <v>1</v>
      </c>
      <c r="P631" s="4">
        <v>20</v>
      </c>
      <c r="Q631" s="4">
        <v>1.6</v>
      </c>
      <c r="R631" s="4">
        <v>0.05</v>
      </c>
      <c r="S631" s="4">
        <v>21.65</v>
      </c>
      <c r="T631" s="5">
        <v>0.633</v>
      </c>
      <c r="U631" s="5">
        <v>0.633</v>
      </c>
      <c r="V631" s="5">
        <v>0.91</v>
      </c>
      <c r="W631" s="5">
        <v>0.91</v>
      </c>
      <c r="X631" s="4">
        <v>21.65</v>
      </c>
    </row>
    <row r="632" customHeight="1" spans="1:28">
      <c r="B632" s="6" t="str">
        <f t="shared" si="9"/>
        <v>43115-DT1EJ20250101-A-JIEU8018198-PARTS</v>
      </c>
      <c r="C632" t="s">
        <v>80</v>
      </c>
      <c r="D632" t="s">
        <v>81</v>
      </c>
      <c r="E632" t="s">
        <v>465</v>
      </c>
      <c r="F632" t="s">
        <v>466</v>
      </c>
      <c r="G632" s="1" t="s">
        <v>84</v>
      </c>
      <c r="I632" s="1" t="s">
        <v>85</v>
      </c>
      <c r="J632" s="1" t="s">
        <v>476</v>
      </c>
      <c r="K632" s="1" t="s">
        <v>93</v>
      </c>
      <c r="L632">
        <v>8708299009</v>
      </c>
      <c r="M632" s="2" t="s">
        <v>94</v>
      </c>
      <c r="N632" s="3" t="s">
        <v>95</v>
      </c>
      <c r="O632" s="1">
        <v>1</v>
      </c>
      <c r="P632" s="4">
        <v>19.64</v>
      </c>
      <c r="Q632" s="4">
        <v>1.57</v>
      </c>
      <c r="R632" s="4">
        <v>0.05</v>
      </c>
      <c r="S632" s="4">
        <v>21.26</v>
      </c>
      <c r="T632" s="5">
        <v>0.622</v>
      </c>
      <c r="U632" s="5">
        <v>0.622</v>
      </c>
      <c r="V632" s="5">
        <v>0.9</v>
      </c>
      <c r="W632" s="5">
        <v>0.9</v>
      </c>
      <c r="X632" s="4">
        <v>21.26</v>
      </c>
    </row>
    <row r="633" customHeight="1" spans="1:28">
      <c r="B633" s="6" t="str">
        <f t="shared" si="9"/>
        <v>43115-DT1EJ20250101-A-JIEU8018198-PARTS</v>
      </c>
      <c r="C633" t="s">
        <v>80</v>
      </c>
      <c r="D633" t="s">
        <v>81</v>
      </c>
      <c r="E633" t="s">
        <v>465</v>
      </c>
      <c r="F633" t="s">
        <v>466</v>
      </c>
      <c r="G633" s="1" t="s">
        <v>84</v>
      </c>
      <c r="I633" s="1" t="s">
        <v>85</v>
      </c>
      <c r="J633" s="1" t="s">
        <v>476</v>
      </c>
      <c r="K633" s="1" t="s">
        <v>87</v>
      </c>
      <c r="L633">
        <v>8708999709</v>
      </c>
      <c r="M633" s="2" t="s">
        <v>88</v>
      </c>
      <c r="N633" s="3" t="s">
        <v>89</v>
      </c>
      <c r="O633" s="1">
        <v>1</v>
      </c>
      <c r="P633" s="4">
        <v>831.11</v>
      </c>
      <c r="Q633" s="4">
        <v>66.62</v>
      </c>
      <c r="R633" s="4">
        <v>1.92</v>
      </c>
      <c r="S633" s="4">
        <v>899.65</v>
      </c>
      <c r="T633" s="5">
        <v>7.824</v>
      </c>
      <c r="U633" s="5">
        <v>7.824</v>
      </c>
      <c r="V633" s="5">
        <v>11.27</v>
      </c>
      <c r="W633" s="5">
        <v>11.27</v>
      </c>
      <c r="X633" s="4">
        <v>899.65</v>
      </c>
    </row>
    <row r="634" customHeight="1" spans="1:28">
      <c r="B634" s="6" t="str">
        <f t="shared" si="9"/>
        <v>43115-DT1EJ20250101-A-JIEU8018198-PARTS</v>
      </c>
      <c r="C634" s="29" t="s">
        <v>80</v>
      </c>
      <c r="D634" s="30" t="s">
        <v>81</v>
      </c>
      <c r="E634" s="30" t="s">
        <v>465</v>
      </c>
      <c r="F634" s="30" t="s">
        <v>466</v>
      </c>
      <c r="G634" s="31" t="s">
        <v>84</v>
      </c>
      <c r="H634" s="31"/>
      <c r="I634" s="31" t="s">
        <v>85</v>
      </c>
      <c r="J634" s="31" t="s">
        <v>476</v>
      </c>
      <c r="K634" s="31" t="s">
        <v>90</v>
      </c>
      <c r="L634" s="31">
        <v>8708299009</v>
      </c>
      <c r="M634" s="32" t="s">
        <v>91</v>
      </c>
      <c r="N634" s="33" t="s">
        <v>92</v>
      </c>
      <c r="O634" s="31">
        <v>1</v>
      </c>
      <c r="P634" s="34">
        <v>20</v>
      </c>
      <c r="Q634" s="34">
        <v>1.6</v>
      </c>
      <c r="R634" s="34">
        <v>0.05</v>
      </c>
      <c r="S634" s="34">
        <v>21.65</v>
      </c>
      <c r="T634" s="35">
        <v>0.633</v>
      </c>
      <c r="U634" s="35">
        <v>0.633</v>
      </c>
      <c r="V634" s="35">
        <v>0.91</v>
      </c>
      <c r="W634" s="35">
        <v>0.91</v>
      </c>
      <c r="X634" s="34">
        <v>21.65</v>
      </c>
      <c r="Y634" s="31"/>
      <c r="Z634" s="31"/>
      <c r="AA634" s="31"/>
      <c r="AB634" s="31"/>
    </row>
    <row r="635" customHeight="1" spans="1:28">
      <c r="B635" s="6" t="str">
        <f t="shared" si="9"/>
        <v>43115-DT1EJ20250101-A-JIEU8018198-PARTS</v>
      </c>
      <c r="C635" t="s">
        <v>80</v>
      </c>
      <c r="D635" t="s">
        <v>81</v>
      </c>
      <c r="E635" t="s">
        <v>465</v>
      </c>
      <c r="F635" t="s">
        <v>466</v>
      </c>
      <c r="G635" s="1" t="s">
        <v>84</v>
      </c>
      <c r="I635" s="1" t="s">
        <v>85</v>
      </c>
      <c r="J635" s="1" t="s">
        <v>476</v>
      </c>
      <c r="K635" s="1" t="s">
        <v>93</v>
      </c>
      <c r="L635">
        <v>8708299009</v>
      </c>
      <c r="M635" s="2" t="s">
        <v>94</v>
      </c>
      <c r="N635" s="3" t="s">
        <v>95</v>
      </c>
      <c r="O635" s="1">
        <v>1</v>
      </c>
      <c r="P635" s="4">
        <v>19.64</v>
      </c>
      <c r="Q635" s="4">
        <v>1.57</v>
      </c>
      <c r="R635" s="4">
        <v>0.05</v>
      </c>
      <c r="S635" s="4">
        <v>21.26</v>
      </c>
      <c r="T635" s="5">
        <v>0.622</v>
      </c>
      <c r="U635" s="5">
        <v>0.622</v>
      </c>
      <c r="V635" s="5">
        <v>0.9</v>
      </c>
      <c r="W635" s="5">
        <v>0.9</v>
      </c>
      <c r="X635" s="4">
        <v>21.26</v>
      </c>
    </row>
    <row r="636" customHeight="1" spans="1:28">
      <c r="B636" s="6" t="str">
        <f t="shared" si="9"/>
        <v>43115-DT1EJ20250101-A-JIEU8018198-PARTS</v>
      </c>
      <c r="C636" s="29" t="s">
        <v>80</v>
      </c>
      <c r="D636" s="30" t="s">
        <v>81</v>
      </c>
      <c r="E636" s="30" t="s">
        <v>465</v>
      </c>
      <c r="F636" s="30" t="s">
        <v>466</v>
      </c>
      <c r="G636" s="31" t="s">
        <v>84</v>
      </c>
      <c r="H636" s="31"/>
      <c r="I636" s="31" t="s">
        <v>85</v>
      </c>
      <c r="J636" s="31" t="s">
        <v>476</v>
      </c>
      <c r="K636" s="31" t="s">
        <v>87</v>
      </c>
      <c r="L636" s="31">
        <v>8708999709</v>
      </c>
      <c r="M636" s="32" t="s">
        <v>88</v>
      </c>
      <c r="N636" s="33" t="s">
        <v>89</v>
      </c>
      <c r="O636" s="31">
        <v>1</v>
      </c>
      <c r="P636" s="34">
        <v>831.11</v>
      </c>
      <c r="Q636" s="34">
        <v>66.62</v>
      </c>
      <c r="R636" s="34">
        <v>1.92</v>
      </c>
      <c r="S636" s="34">
        <v>899.65</v>
      </c>
      <c r="T636" s="35">
        <v>7.824</v>
      </c>
      <c r="U636" s="35">
        <v>7.824</v>
      </c>
      <c r="V636" s="35">
        <v>11.27</v>
      </c>
      <c r="W636" s="35">
        <v>11.27</v>
      </c>
      <c r="X636" s="34">
        <v>899.65</v>
      </c>
      <c r="Y636" s="31"/>
      <c r="Z636" s="31"/>
      <c r="AA636" s="31"/>
      <c r="AB636" s="31"/>
    </row>
    <row r="637" customHeight="1" spans="1:28">
      <c r="B637" s="6" t="str">
        <f t="shared" si="9"/>
        <v>43115-DT1EJ20250101-A-JIEU8018198-PARTS</v>
      </c>
      <c r="C637" s="29" t="s">
        <v>80</v>
      </c>
      <c r="D637" s="30" t="s">
        <v>81</v>
      </c>
      <c r="E637" s="30" t="s">
        <v>465</v>
      </c>
      <c r="F637" s="30" t="s">
        <v>466</v>
      </c>
      <c r="G637" s="31" t="s">
        <v>84</v>
      </c>
      <c r="H637" s="31"/>
      <c r="I637" s="31" t="s">
        <v>85</v>
      </c>
      <c r="J637" s="31" t="s">
        <v>476</v>
      </c>
      <c r="K637" s="31" t="s">
        <v>90</v>
      </c>
      <c r="L637" s="31">
        <v>8708299009</v>
      </c>
      <c r="M637" s="32" t="s">
        <v>91</v>
      </c>
      <c r="N637" s="33" t="s">
        <v>92</v>
      </c>
      <c r="O637" s="31">
        <v>1</v>
      </c>
      <c r="P637" s="34">
        <v>20</v>
      </c>
      <c r="Q637" s="34">
        <v>1.6</v>
      </c>
      <c r="R637" s="34">
        <v>0.05</v>
      </c>
      <c r="S637" s="34">
        <v>21.65</v>
      </c>
      <c r="T637" s="35">
        <v>0.633</v>
      </c>
      <c r="U637" s="35">
        <v>0.633</v>
      </c>
      <c r="V637" s="35">
        <v>0.91</v>
      </c>
      <c r="W637" s="35">
        <v>0.91</v>
      </c>
      <c r="X637" s="34">
        <v>21.65</v>
      </c>
      <c r="Y637" s="31"/>
      <c r="Z637" s="31"/>
      <c r="AA637" s="31"/>
      <c r="AB637" s="31"/>
    </row>
    <row r="638" customHeight="1" spans="1:28">
      <c r="B638" s="6" t="str">
        <f t="shared" si="9"/>
        <v>43115-DT1EJ20250101-A-JIEU8018198-PARTS</v>
      </c>
      <c r="C638" s="29" t="s">
        <v>80</v>
      </c>
      <c r="D638" s="30" t="s">
        <v>81</v>
      </c>
      <c r="E638" s="30" t="s">
        <v>465</v>
      </c>
      <c r="F638" s="30" t="s">
        <v>466</v>
      </c>
      <c r="G638" s="31" t="s">
        <v>84</v>
      </c>
      <c r="H638" s="31"/>
      <c r="I638" s="31" t="s">
        <v>85</v>
      </c>
      <c r="J638" s="31" t="s">
        <v>476</v>
      </c>
      <c r="K638" s="31" t="s">
        <v>93</v>
      </c>
      <c r="L638" s="31">
        <v>8708299009</v>
      </c>
      <c r="M638" s="32" t="s">
        <v>94</v>
      </c>
      <c r="N638" s="33" t="s">
        <v>95</v>
      </c>
      <c r="O638" s="31">
        <v>1</v>
      </c>
      <c r="P638" s="34">
        <v>19.64</v>
      </c>
      <c r="Q638" s="34">
        <v>1.57</v>
      </c>
      <c r="R638" s="34">
        <v>0.05</v>
      </c>
      <c r="S638" s="34">
        <v>21.26</v>
      </c>
      <c r="T638" s="35">
        <v>0.622</v>
      </c>
      <c r="U638" s="35">
        <v>0.622</v>
      </c>
      <c r="V638" s="35">
        <v>0.9</v>
      </c>
      <c r="W638" s="35">
        <v>0.9</v>
      </c>
      <c r="X638" s="34">
        <v>21.26</v>
      </c>
      <c r="Y638" s="31"/>
      <c r="Z638" s="31"/>
      <c r="AA638" s="31"/>
      <c r="AB638" s="31"/>
    </row>
    <row r="639" customHeight="1" spans="1:28">
      <c r="B639" s="6" t="str">
        <f t="shared" si="9"/>
        <v>43115-DT1EJ20250101-A-JIEU8018198-PARTS</v>
      </c>
      <c r="C639" s="29" t="s">
        <v>80</v>
      </c>
      <c r="D639" s="30" t="s">
        <v>81</v>
      </c>
      <c r="E639" s="30" t="s">
        <v>465</v>
      </c>
      <c r="F639" s="30" t="s">
        <v>466</v>
      </c>
      <c r="G639" s="31" t="s">
        <v>84</v>
      </c>
      <c r="H639" s="31"/>
      <c r="I639" s="31" t="s">
        <v>85</v>
      </c>
      <c r="J639" s="31" t="s">
        <v>476</v>
      </c>
      <c r="K639" s="31" t="s">
        <v>87</v>
      </c>
      <c r="L639" s="31">
        <v>8708999709</v>
      </c>
      <c r="M639" s="32" t="s">
        <v>88</v>
      </c>
      <c r="N639" s="33" t="s">
        <v>89</v>
      </c>
      <c r="O639" s="31">
        <v>1</v>
      </c>
      <c r="P639" s="34">
        <v>831.11</v>
      </c>
      <c r="Q639" s="34">
        <v>66.62</v>
      </c>
      <c r="R639" s="34">
        <v>1.92</v>
      </c>
      <c r="S639" s="34">
        <v>899.65</v>
      </c>
      <c r="T639" s="35">
        <v>7.824</v>
      </c>
      <c r="U639" s="35">
        <v>7.824</v>
      </c>
      <c r="V639" s="35">
        <v>11.27</v>
      </c>
      <c r="W639" s="35">
        <v>11.27</v>
      </c>
      <c r="X639" s="34">
        <v>899.65</v>
      </c>
      <c r="Y639" s="31"/>
      <c r="Z639" s="31"/>
      <c r="AA639" s="31"/>
      <c r="AB639" s="31"/>
    </row>
    <row r="640" customHeight="1" spans="1:28">
      <c r="A640" s="6" t="s">
        <v>477</v>
      </c>
      <c r="B640" s="6" t="str">
        <f t="shared" si="9"/>
        <v>43115-DT1EJ20250101-A-JIEU8018198-PARTS</v>
      </c>
      <c r="C640" s="29" t="s">
        <v>80</v>
      </c>
      <c r="D640" s="30" t="s">
        <v>81</v>
      </c>
      <c r="E640" s="30" t="s">
        <v>465</v>
      </c>
      <c r="F640" s="30" t="s">
        <v>466</v>
      </c>
      <c r="G640" s="31" t="s">
        <v>84</v>
      </c>
      <c r="H640" s="31"/>
      <c r="I640" s="31" t="s">
        <v>85</v>
      </c>
      <c r="J640" s="31" t="s">
        <v>476</v>
      </c>
      <c r="K640" s="31" t="s">
        <v>90</v>
      </c>
      <c r="L640" s="31">
        <v>8708299009</v>
      </c>
      <c r="M640" s="32" t="s">
        <v>91</v>
      </c>
      <c r="N640" s="33" t="s">
        <v>92</v>
      </c>
      <c r="O640" s="31">
        <v>1</v>
      </c>
      <c r="P640" s="34">
        <v>20</v>
      </c>
      <c r="Q640" s="34">
        <v>1.6</v>
      </c>
      <c r="R640" s="34">
        <v>0.05</v>
      </c>
      <c r="S640" s="34">
        <v>21.65</v>
      </c>
      <c r="T640" s="35">
        <v>0.633</v>
      </c>
      <c r="U640" s="35">
        <v>0.633</v>
      </c>
      <c r="V640" s="35">
        <v>0.91</v>
      </c>
      <c r="W640" s="35">
        <v>0.91</v>
      </c>
      <c r="X640" s="34">
        <v>21.65</v>
      </c>
      <c r="Y640" s="31"/>
      <c r="Z640" s="31"/>
      <c r="AA640" s="31"/>
      <c r="AB640" s="31"/>
    </row>
    <row r="641" customHeight="1" spans="1:28">
      <c r="B641" s="6" t="str">
        <f t="shared" si="9"/>
        <v>43115-DT1EJ20250101-A-JIEU8018198-PARTS</v>
      </c>
      <c r="C641" s="29" t="s">
        <v>80</v>
      </c>
      <c r="D641" s="30" t="s">
        <v>81</v>
      </c>
      <c r="E641" s="30" t="s">
        <v>465</v>
      </c>
      <c r="F641" s="30" t="s">
        <v>466</v>
      </c>
      <c r="G641" s="31" t="s">
        <v>84</v>
      </c>
      <c r="H641" s="31"/>
      <c r="I641" s="31" t="s">
        <v>85</v>
      </c>
      <c r="J641" s="31" t="s">
        <v>476</v>
      </c>
      <c r="K641" s="31" t="s">
        <v>93</v>
      </c>
      <c r="L641" s="31">
        <v>8708299009</v>
      </c>
      <c r="M641" s="32" t="s">
        <v>94</v>
      </c>
      <c r="N641" s="33" t="s">
        <v>95</v>
      </c>
      <c r="O641" s="31">
        <v>1</v>
      </c>
      <c r="P641" s="34">
        <v>19.64</v>
      </c>
      <c r="Q641" s="34">
        <v>1.57</v>
      </c>
      <c r="R641" s="34">
        <v>0.05</v>
      </c>
      <c r="S641" s="34">
        <v>21.26</v>
      </c>
      <c r="T641" s="35">
        <v>0.622</v>
      </c>
      <c r="U641" s="35">
        <v>0.622</v>
      </c>
      <c r="V641" s="35">
        <v>0.9</v>
      </c>
      <c r="W641" s="35">
        <v>0.9</v>
      </c>
      <c r="X641" s="34">
        <v>21.26</v>
      </c>
      <c r="Y641" s="31"/>
      <c r="Z641" s="31"/>
      <c r="AA641" s="31"/>
      <c r="AB641" s="31"/>
    </row>
    <row r="642" customHeight="1" spans="1:28">
      <c r="B642" s="6" t="str">
        <f t="shared" ref="B642:B705" si="10">CONCATENATE(C642,"-",E642,"-",G642)</f>
        <v>43115-DT1EJ20250101-A-JIEU8018198-PARTS</v>
      </c>
      <c r="C642" s="29" t="s">
        <v>80</v>
      </c>
      <c r="D642" s="30" t="s">
        <v>81</v>
      </c>
      <c r="E642" s="30" t="s">
        <v>465</v>
      </c>
      <c r="F642" s="30" t="s">
        <v>466</v>
      </c>
      <c r="G642" s="31" t="s">
        <v>84</v>
      </c>
      <c r="H642" s="31"/>
      <c r="I642" s="31" t="s">
        <v>85</v>
      </c>
      <c r="J642" s="31" t="s">
        <v>476</v>
      </c>
      <c r="K642" s="31" t="s">
        <v>87</v>
      </c>
      <c r="L642" s="31">
        <v>8708999709</v>
      </c>
      <c r="M642" s="32" t="s">
        <v>88</v>
      </c>
      <c r="N642" s="33" t="s">
        <v>89</v>
      </c>
      <c r="O642" s="31">
        <v>1</v>
      </c>
      <c r="P642" s="34">
        <v>831.11</v>
      </c>
      <c r="Q642" s="34">
        <v>66.62</v>
      </c>
      <c r="R642" s="34">
        <v>1.92</v>
      </c>
      <c r="S642" s="34">
        <v>899.65</v>
      </c>
      <c r="T642" s="35">
        <v>7.824</v>
      </c>
      <c r="U642" s="35">
        <v>7.824</v>
      </c>
      <c r="V642" s="35">
        <v>11.27</v>
      </c>
      <c r="W642" s="35">
        <v>11.27</v>
      </c>
      <c r="X642" s="34">
        <v>899.65</v>
      </c>
      <c r="Y642" s="31"/>
      <c r="Z642" s="31"/>
      <c r="AA642" s="31"/>
      <c r="AB642" s="31"/>
    </row>
    <row r="643" customHeight="1" spans="1:28">
      <c r="B643" s="6" t="str">
        <f t="shared" si="10"/>
        <v>43115-DT1EJ20250101-A-JIEU8018198-PARTS</v>
      </c>
      <c r="C643" s="29" t="s">
        <v>80</v>
      </c>
      <c r="D643" s="30" t="s">
        <v>81</v>
      </c>
      <c r="E643" s="30" t="s">
        <v>465</v>
      </c>
      <c r="F643" s="30" t="s">
        <v>466</v>
      </c>
      <c r="G643" s="31" t="s">
        <v>84</v>
      </c>
      <c r="H643" s="31"/>
      <c r="I643" s="31" t="s">
        <v>85</v>
      </c>
      <c r="J643" s="31" t="s">
        <v>476</v>
      </c>
      <c r="K643" s="31" t="s">
        <v>90</v>
      </c>
      <c r="L643" s="31">
        <v>8708299009</v>
      </c>
      <c r="M643" s="32" t="s">
        <v>91</v>
      </c>
      <c r="N643" s="33" t="s">
        <v>92</v>
      </c>
      <c r="O643" s="31">
        <v>1</v>
      </c>
      <c r="P643" s="34">
        <v>20</v>
      </c>
      <c r="Q643" s="34">
        <v>1.6</v>
      </c>
      <c r="R643" s="34">
        <v>0.05</v>
      </c>
      <c r="S643" s="34">
        <v>21.65</v>
      </c>
      <c r="T643" s="35">
        <v>0.633</v>
      </c>
      <c r="U643" s="35">
        <v>0.633</v>
      </c>
      <c r="V643" s="35">
        <v>0.91</v>
      </c>
      <c r="W643" s="35">
        <v>0.91</v>
      </c>
      <c r="X643" s="34">
        <v>21.65</v>
      </c>
      <c r="Y643" s="31"/>
      <c r="Z643" s="31"/>
      <c r="AA643" s="31"/>
      <c r="AB643" s="31"/>
    </row>
    <row r="644" customHeight="1" spans="1:28">
      <c r="A644" s="6" t="s">
        <v>478</v>
      </c>
      <c r="B644" s="6" t="str">
        <f t="shared" si="10"/>
        <v>43115-DT1EJ20250101-A-JIEU8018198-PARTS</v>
      </c>
      <c r="C644" s="29" t="s">
        <v>80</v>
      </c>
      <c r="D644" s="30" t="s">
        <v>81</v>
      </c>
      <c r="E644" s="30" t="s">
        <v>465</v>
      </c>
      <c r="F644" s="30" t="s">
        <v>466</v>
      </c>
      <c r="G644" s="31" t="s">
        <v>84</v>
      </c>
      <c r="H644" s="31"/>
      <c r="I644" s="31" t="s">
        <v>85</v>
      </c>
      <c r="J644" s="31" t="s">
        <v>476</v>
      </c>
      <c r="K644" s="31" t="s">
        <v>93</v>
      </c>
      <c r="L644" s="31">
        <v>8708299009</v>
      </c>
      <c r="M644" s="32" t="s">
        <v>94</v>
      </c>
      <c r="N644" s="33" t="s">
        <v>95</v>
      </c>
      <c r="O644" s="31">
        <v>1</v>
      </c>
      <c r="P644" s="34">
        <v>19.64</v>
      </c>
      <c r="Q644" s="34">
        <v>1.57</v>
      </c>
      <c r="R644" s="34">
        <v>0.05</v>
      </c>
      <c r="S644" s="34">
        <v>21.26</v>
      </c>
      <c r="T644" s="35">
        <v>0.622</v>
      </c>
      <c r="U644" s="35">
        <v>0.622</v>
      </c>
      <c r="V644" s="35">
        <v>0.9</v>
      </c>
      <c r="W644" s="35">
        <v>0.9</v>
      </c>
      <c r="X644" s="34">
        <v>21.26</v>
      </c>
      <c r="Y644" s="31"/>
      <c r="Z644" s="31"/>
      <c r="AA644" s="31"/>
      <c r="AB644" s="31"/>
    </row>
    <row r="645" customHeight="1" spans="1:28">
      <c r="B645" s="6" t="str">
        <f t="shared" si="10"/>
        <v>43115-DT1EJ20250101-A-JIEU8018198-PARTS</v>
      </c>
      <c r="C645" s="29" t="s">
        <v>80</v>
      </c>
      <c r="D645" s="30" t="s">
        <v>81</v>
      </c>
      <c r="E645" s="30" t="s">
        <v>465</v>
      </c>
      <c r="F645" s="30" t="s">
        <v>466</v>
      </c>
      <c r="G645" s="31" t="s">
        <v>84</v>
      </c>
      <c r="H645" s="31"/>
      <c r="I645" s="31" t="s">
        <v>85</v>
      </c>
      <c r="J645" s="31" t="s">
        <v>476</v>
      </c>
      <c r="K645" s="31" t="s">
        <v>87</v>
      </c>
      <c r="L645" s="31">
        <v>8708999709</v>
      </c>
      <c r="M645" s="32" t="s">
        <v>88</v>
      </c>
      <c r="N645" s="33" t="s">
        <v>89</v>
      </c>
      <c r="O645" s="31">
        <v>1</v>
      </c>
      <c r="P645" s="34">
        <v>831.11</v>
      </c>
      <c r="Q645" s="34">
        <v>66.62</v>
      </c>
      <c r="R645" s="34">
        <v>1.92</v>
      </c>
      <c r="S645" s="34">
        <v>899.65</v>
      </c>
      <c r="T645" s="35">
        <v>7.824</v>
      </c>
      <c r="U645" s="35">
        <v>7.824</v>
      </c>
      <c r="V645" s="35">
        <v>11.27</v>
      </c>
      <c r="W645" s="35">
        <v>11.27</v>
      </c>
      <c r="X645" s="34">
        <v>899.65</v>
      </c>
      <c r="Y645" s="31"/>
      <c r="Z645" s="31"/>
      <c r="AA645" s="31"/>
      <c r="AB645" s="31"/>
    </row>
    <row r="646" customHeight="1" spans="1:28">
      <c r="B646" s="6" t="str">
        <f t="shared" si="10"/>
        <v>43115-DT1EJ20250101-A-JIEU8018198-PARTS</v>
      </c>
      <c r="C646" s="29" t="s">
        <v>80</v>
      </c>
      <c r="D646" s="30" t="s">
        <v>81</v>
      </c>
      <c r="E646" s="30" t="s">
        <v>465</v>
      </c>
      <c r="F646" s="30" t="s">
        <v>466</v>
      </c>
      <c r="G646" s="31" t="s">
        <v>84</v>
      </c>
      <c r="H646" s="31"/>
      <c r="I646" s="31" t="s">
        <v>85</v>
      </c>
      <c r="J646" s="31" t="s">
        <v>476</v>
      </c>
      <c r="K646" s="31" t="s">
        <v>90</v>
      </c>
      <c r="L646" s="31">
        <v>8708299009</v>
      </c>
      <c r="M646" s="32" t="s">
        <v>91</v>
      </c>
      <c r="N646" s="33" t="s">
        <v>92</v>
      </c>
      <c r="O646" s="31">
        <v>1</v>
      </c>
      <c r="P646" s="34">
        <v>20</v>
      </c>
      <c r="Q646" s="34">
        <v>1.6</v>
      </c>
      <c r="R646" s="34">
        <v>0.05</v>
      </c>
      <c r="S646" s="34">
        <v>21.65</v>
      </c>
      <c r="T646" s="35">
        <v>0.633</v>
      </c>
      <c r="U646" s="35">
        <v>0.633</v>
      </c>
      <c r="V646" s="35">
        <v>0.91</v>
      </c>
      <c r="W646" s="35">
        <v>0.91</v>
      </c>
      <c r="X646" s="34">
        <v>21.65</v>
      </c>
      <c r="Y646" s="31"/>
      <c r="Z646" s="31"/>
      <c r="AA646" s="31"/>
      <c r="AB646" s="31"/>
    </row>
    <row r="647" customHeight="1" spans="1:28">
      <c r="B647" s="6" t="str">
        <f t="shared" si="10"/>
        <v>43115-DT1EJ20250101-A-JIEU8018198-PARTS</v>
      </c>
      <c r="C647" s="29" t="s">
        <v>80</v>
      </c>
      <c r="D647" s="30" t="s">
        <v>81</v>
      </c>
      <c r="E647" s="30" t="s">
        <v>465</v>
      </c>
      <c r="F647" s="30" t="s">
        <v>466</v>
      </c>
      <c r="G647" s="31" t="s">
        <v>84</v>
      </c>
      <c r="H647" s="31"/>
      <c r="I647" s="31" t="s">
        <v>85</v>
      </c>
      <c r="J647" s="31" t="s">
        <v>476</v>
      </c>
      <c r="K647" s="31" t="s">
        <v>93</v>
      </c>
      <c r="L647" s="31">
        <v>8708299009</v>
      </c>
      <c r="M647" s="32" t="s">
        <v>94</v>
      </c>
      <c r="N647" s="33" t="s">
        <v>95</v>
      </c>
      <c r="O647" s="31">
        <v>1</v>
      </c>
      <c r="P647" s="34">
        <v>19.64</v>
      </c>
      <c r="Q647" s="34">
        <v>1.57</v>
      </c>
      <c r="R647" s="34">
        <v>0.05</v>
      </c>
      <c r="S647" s="34">
        <v>21.26</v>
      </c>
      <c r="T647" s="35">
        <v>0.622</v>
      </c>
      <c r="U647" s="35">
        <v>0.622</v>
      </c>
      <c r="V647" s="35">
        <v>0.9</v>
      </c>
      <c r="W647" s="35">
        <v>0.9</v>
      </c>
      <c r="X647" s="34">
        <v>21.26</v>
      </c>
      <c r="Y647" s="31"/>
      <c r="Z647" s="31"/>
      <c r="AA647" s="31"/>
      <c r="AB647" s="31"/>
    </row>
    <row r="648" customHeight="1" spans="1:28">
      <c r="B648" s="6" t="str">
        <f t="shared" si="10"/>
        <v>43115-DT1EJ20250101-A-JIEU8018198-PARTS</v>
      </c>
      <c r="C648" s="29" t="s">
        <v>80</v>
      </c>
      <c r="D648" s="30" t="s">
        <v>81</v>
      </c>
      <c r="E648" s="30" t="s">
        <v>465</v>
      </c>
      <c r="F648" s="30" t="s">
        <v>466</v>
      </c>
      <c r="G648" s="31" t="s">
        <v>84</v>
      </c>
      <c r="H648" s="31"/>
      <c r="I648" s="31" t="s">
        <v>85</v>
      </c>
      <c r="J648" s="31" t="s">
        <v>476</v>
      </c>
      <c r="K648" s="31" t="s">
        <v>87</v>
      </c>
      <c r="L648" s="31">
        <v>8708999709</v>
      </c>
      <c r="M648" s="32" t="s">
        <v>88</v>
      </c>
      <c r="N648" s="33" t="s">
        <v>89</v>
      </c>
      <c r="O648" s="31">
        <v>1</v>
      </c>
      <c r="P648" s="34">
        <v>831.11</v>
      </c>
      <c r="Q648" s="34">
        <v>66.62</v>
      </c>
      <c r="R648" s="34">
        <v>1.92</v>
      </c>
      <c r="S648" s="34">
        <v>899.65</v>
      </c>
      <c r="T648" s="35">
        <v>7.824</v>
      </c>
      <c r="U648" s="35">
        <v>7.824</v>
      </c>
      <c r="V648" s="35">
        <v>11.27</v>
      </c>
      <c r="W648" s="35">
        <v>11.27</v>
      </c>
      <c r="X648" s="34">
        <v>899.65</v>
      </c>
      <c r="Y648" s="31"/>
      <c r="Z648" s="31"/>
      <c r="AA648" s="31"/>
      <c r="AB648" s="31"/>
    </row>
    <row r="649" customHeight="1" spans="1:28">
      <c r="B649" s="6" t="str">
        <f t="shared" si="10"/>
        <v>43115-DT1EJ20250101-A-JIEU8018198-PARTS</v>
      </c>
      <c r="C649" s="29" t="s">
        <v>80</v>
      </c>
      <c r="D649" s="30" t="s">
        <v>81</v>
      </c>
      <c r="E649" s="30" t="s">
        <v>465</v>
      </c>
      <c r="F649" s="30" t="s">
        <v>466</v>
      </c>
      <c r="G649" s="31" t="s">
        <v>84</v>
      </c>
      <c r="H649" s="31"/>
      <c r="I649" s="31" t="s">
        <v>85</v>
      </c>
      <c r="J649" s="31" t="s">
        <v>476</v>
      </c>
      <c r="K649" s="31" t="s">
        <v>90</v>
      </c>
      <c r="L649" s="31">
        <v>8708299009</v>
      </c>
      <c r="M649" s="32" t="s">
        <v>91</v>
      </c>
      <c r="N649" s="33" t="s">
        <v>92</v>
      </c>
      <c r="O649" s="31">
        <v>1</v>
      </c>
      <c r="P649" s="34">
        <v>20</v>
      </c>
      <c r="Q649" s="34">
        <v>1.6</v>
      </c>
      <c r="R649" s="34">
        <v>0.05</v>
      </c>
      <c r="S649" s="34">
        <v>21.65</v>
      </c>
      <c r="T649" s="35">
        <v>0.633</v>
      </c>
      <c r="U649" s="35">
        <v>0.633</v>
      </c>
      <c r="V649" s="35">
        <v>0.91</v>
      </c>
      <c r="W649" s="35">
        <v>0.91</v>
      </c>
      <c r="X649" s="34">
        <v>21.65</v>
      </c>
      <c r="Y649" s="31"/>
      <c r="Z649" s="31"/>
      <c r="AA649" s="31"/>
      <c r="AB649" s="31"/>
    </row>
    <row r="650" customHeight="1" spans="1:28">
      <c r="B650" s="6" t="str">
        <f t="shared" si="10"/>
        <v>43115-DT1EJ20250101-A-JIEU8018198-PARTS</v>
      </c>
      <c r="C650" s="29" t="s">
        <v>80</v>
      </c>
      <c r="D650" s="30" t="s">
        <v>81</v>
      </c>
      <c r="E650" s="30" t="s">
        <v>465</v>
      </c>
      <c r="F650" s="30" t="s">
        <v>466</v>
      </c>
      <c r="G650" s="31" t="s">
        <v>84</v>
      </c>
      <c r="H650" s="31"/>
      <c r="I650" s="31" t="s">
        <v>85</v>
      </c>
      <c r="J650" s="31" t="s">
        <v>476</v>
      </c>
      <c r="K650" s="31" t="s">
        <v>93</v>
      </c>
      <c r="L650" s="31">
        <v>8708299009</v>
      </c>
      <c r="M650" s="32" t="s">
        <v>94</v>
      </c>
      <c r="N650" s="33" t="s">
        <v>95</v>
      </c>
      <c r="O650" s="31">
        <v>1</v>
      </c>
      <c r="P650" s="34">
        <v>19.64</v>
      </c>
      <c r="Q650" s="34">
        <v>1.57</v>
      </c>
      <c r="R650" s="34">
        <v>0.05</v>
      </c>
      <c r="S650" s="34">
        <v>21.26</v>
      </c>
      <c r="T650" s="35">
        <v>0.622</v>
      </c>
      <c r="U650" s="35">
        <v>0.622</v>
      </c>
      <c r="V650" s="35">
        <v>0.9</v>
      </c>
      <c r="W650" s="35">
        <v>0.9</v>
      </c>
      <c r="X650" s="34">
        <v>21.26</v>
      </c>
      <c r="Y650" s="31"/>
      <c r="Z650" s="31"/>
      <c r="AA650" s="31"/>
      <c r="AB650" s="31"/>
    </row>
    <row r="651" customHeight="1" spans="1:28">
      <c r="B651" s="6" t="str">
        <f t="shared" si="10"/>
        <v>43115-DT1EJ20250101-A-JIEU8018198-PARTS</v>
      </c>
      <c r="C651" t="s">
        <v>80</v>
      </c>
      <c r="D651" t="s">
        <v>81</v>
      </c>
      <c r="E651" t="s">
        <v>465</v>
      </c>
      <c r="F651" t="s">
        <v>466</v>
      </c>
      <c r="G651" s="1" t="s">
        <v>84</v>
      </c>
      <c r="I651" s="1" t="s">
        <v>85</v>
      </c>
      <c r="J651" s="1" t="s">
        <v>476</v>
      </c>
      <c r="K651" s="1" t="s">
        <v>87</v>
      </c>
      <c r="L651">
        <v>8708999709</v>
      </c>
      <c r="M651" s="2" t="s">
        <v>88</v>
      </c>
      <c r="N651" s="3" t="s">
        <v>89</v>
      </c>
      <c r="O651" s="1">
        <v>1</v>
      </c>
      <c r="P651" s="4">
        <v>831.11</v>
      </c>
      <c r="Q651" s="4">
        <v>66.62</v>
      </c>
      <c r="R651" s="4">
        <v>1.92</v>
      </c>
      <c r="S651" s="4">
        <v>899.65</v>
      </c>
      <c r="T651" s="5">
        <v>7.824</v>
      </c>
      <c r="U651" s="5">
        <v>7.824</v>
      </c>
      <c r="V651" s="5">
        <v>11.27</v>
      </c>
      <c r="W651" s="5">
        <v>11.27</v>
      </c>
      <c r="X651" s="4">
        <v>899.65</v>
      </c>
    </row>
    <row r="652" customHeight="1" spans="1:28">
      <c r="B652" s="6" t="str">
        <f t="shared" si="10"/>
        <v>43115-DT1EJ20250101-A-JIEU8018198-PARTS</v>
      </c>
      <c r="C652" t="s">
        <v>80</v>
      </c>
      <c r="D652" t="s">
        <v>81</v>
      </c>
      <c r="E652" t="s">
        <v>465</v>
      </c>
      <c r="F652" t="s">
        <v>466</v>
      </c>
      <c r="G652" s="1" t="s">
        <v>84</v>
      </c>
      <c r="I652" s="1" t="s">
        <v>85</v>
      </c>
      <c r="J652" s="1" t="s">
        <v>476</v>
      </c>
      <c r="K652" s="1" t="s">
        <v>90</v>
      </c>
      <c r="L652">
        <v>8708299009</v>
      </c>
      <c r="M652" s="2" t="s">
        <v>91</v>
      </c>
      <c r="N652" s="3" t="s">
        <v>92</v>
      </c>
      <c r="O652" s="1">
        <v>1</v>
      </c>
      <c r="P652" s="4">
        <v>20</v>
      </c>
      <c r="Q652" s="4">
        <v>1.6</v>
      </c>
      <c r="R652" s="4">
        <v>0.05</v>
      </c>
      <c r="S652" s="4">
        <v>21.65</v>
      </c>
      <c r="T652" s="5">
        <v>0.633</v>
      </c>
      <c r="U652" s="5">
        <v>0.633</v>
      </c>
      <c r="V652" s="5">
        <v>0.91</v>
      </c>
      <c r="W652" s="5">
        <v>0.91</v>
      </c>
      <c r="X652" s="4">
        <v>21.65</v>
      </c>
    </row>
    <row r="653" customHeight="1" spans="1:28">
      <c r="B653" s="6" t="str">
        <f t="shared" si="10"/>
        <v>43115-DT1EJ20250101-A-JIEU8018198-PARTS</v>
      </c>
      <c r="C653" t="s">
        <v>80</v>
      </c>
      <c r="D653" t="s">
        <v>81</v>
      </c>
      <c r="E653" t="s">
        <v>465</v>
      </c>
      <c r="F653" t="s">
        <v>466</v>
      </c>
      <c r="G653" s="1" t="s">
        <v>84</v>
      </c>
      <c r="I653" s="1" t="s">
        <v>85</v>
      </c>
      <c r="J653" s="1" t="s">
        <v>476</v>
      </c>
      <c r="K653" s="1" t="s">
        <v>93</v>
      </c>
      <c r="L653">
        <v>8708299009</v>
      </c>
      <c r="M653" s="2" t="s">
        <v>94</v>
      </c>
      <c r="N653" s="3" t="s">
        <v>95</v>
      </c>
      <c r="O653" s="1">
        <v>1</v>
      </c>
      <c r="P653" s="4">
        <v>19.64</v>
      </c>
      <c r="Q653" s="4">
        <v>1.57</v>
      </c>
      <c r="R653" s="4">
        <v>0.05</v>
      </c>
      <c r="S653" s="4">
        <v>21.26</v>
      </c>
      <c r="T653" s="5">
        <v>0.622</v>
      </c>
      <c r="U653" s="5">
        <v>0.622</v>
      </c>
      <c r="V653" s="5">
        <v>0.9</v>
      </c>
      <c r="W653" s="5">
        <v>0.9</v>
      </c>
      <c r="X653" s="4">
        <v>21.26</v>
      </c>
    </row>
    <row r="654" customHeight="1" spans="1:28">
      <c r="B654" s="6" t="str">
        <f t="shared" si="10"/>
        <v>43115-DT1EJ20250101-A-JIEU8018198-PARTS</v>
      </c>
      <c r="C654" t="s">
        <v>80</v>
      </c>
      <c r="D654" t="s">
        <v>81</v>
      </c>
      <c r="E654" t="s">
        <v>465</v>
      </c>
      <c r="F654" t="s">
        <v>466</v>
      </c>
      <c r="G654" s="1" t="s">
        <v>84</v>
      </c>
      <c r="I654" s="1" t="s">
        <v>85</v>
      </c>
      <c r="J654" s="1" t="s">
        <v>476</v>
      </c>
      <c r="K654" s="1" t="s">
        <v>87</v>
      </c>
      <c r="L654">
        <v>8708999709</v>
      </c>
      <c r="M654" s="2" t="s">
        <v>88</v>
      </c>
      <c r="N654" s="3" t="s">
        <v>89</v>
      </c>
      <c r="O654" s="1">
        <v>1</v>
      </c>
      <c r="P654" s="4">
        <v>831.11</v>
      </c>
      <c r="Q654" s="4">
        <v>66.62</v>
      </c>
      <c r="R654" s="4">
        <v>1.92</v>
      </c>
      <c r="S654" s="4">
        <v>899.65</v>
      </c>
      <c r="T654" s="5">
        <v>7.824</v>
      </c>
      <c r="U654" s="5">
        <v>7.824</v>
      </c>
      <c r="V654" s="5">
        <v>11.27</v>
      </c>
      <c r="W654" s="5">
        <v>11.27</v>
      </c>
      <c r="X654" s="4">
        <v>899.65</v>
      </c>
    </row>
    <row r="655" customHeight="1" spans="1:28">
      <c r="B655" s="6" t="str">
        <f t="shared" si="10"/>
        <v>43115-DT1EJ20250101-A-JIEU8018198-PARTS</v>
      </c>
      <c r="C655" t="s">
        <v>80</v>
      </c>
      <c r="D655" t="s">
        <v>81</v>
      </c>
      <c r="E655" t="s">
        <v>465</v>
      </c>
      <c r="F655" t="s">
        <v>466</v>
      </c>
      <c r="G655" s="1" t="s">
        <v>84</v>
      </c>
      <c r="I655" s="1" t="s">
        <v>85</v>
      </c>
      <c r="J655" s="1" t="s">
        <v>476</v>
      </c>
      <c r="K655" s="1" t="s">
        <v>90</v>
      </c>
      <c r="L655">
        <v>8708299009</v>
      </c>
      <c r="M655" s="2" t="s">
        <v>91</v>
      </c>
      <c r="N655" s="3" t="s">
        <v>92</v>
      </c>
      <c r="O655" s="1">
        <v>1</v>
      </c>
      <c r="P655" s="4">
        <v>20</v>
      </c>
      <c r="Q655" s="4">
        <v>1.6</v>
      </c>
      <c r="R655" s="4">
        <v>0.05</v>
      </c>
      <c r="S655" s="4">
        <v>21.65</v>
      </c>
      <c r="T655" s="5">
        <v>0.633</v>
      </c>
      <c r="U655" s="5">
        <v>0.633</v>
      </c>
      <c r="V655" s="5">
        <v>0.91</v>
      </c>
      <c r="W655" s="5">
        <v>0.91</v>
      </c>
      <c r="X655" s="4">
        <v>21.65</v>
      </c>
    </row>
    <row r="656" customHeight="1" spans="1:28">
      <c r="B656" s="6" t="str">
        <f t="shared" si="10"/>
        <v>43115-DT1EJ20250101-A-JIEU8018198-PARTS</v>
      </c>
      <c r="C656" t="s">
        <v>80</v>
      </c>
      <c r="D656" t="s">
        <v>81</v>
      </c>
      <c r="E656" t="s">
        <v>465</v>
      </c>
      <c r="F656" t="s">
        <v>466</v>
      </c>
      <c r="G656" s="1" t="s">
        <v>84</v>
      </c>
      <c r="I656" s="1" t="s">
        <v>85</v>
      </c>
      <c r="J656" s="1" t="s">
        <v>476</v>
      </c>
      <c r="K656" s="1" t="s">
        <v>93</v>
      </c>
      <c r="L656">
        <v>8708299009</v>
      </c>
      <c r="M656" s="2" t="s">
        <v>94</v>
      </c>
      <c r="N656" s="3" t="s">
        <v>95</v>
      </c>
      <c r="O656" s="1">
        <v>1</v>
      </c>
      <c r="P656" s="4">
        <v>19.64</v>
      </c>
      <c r="Q656" s="4">
        <v>1.57</v>
      </c>
      <c r="R656" s="4">
        <v>0.05</v>
      </c>
      <c r="S656" s="4">
        <v>21.26</v>
      </c>
      <c r="T656" s="5">
        <v>0.622</v>
      </c>
      <c r="U656" s="5">
        <v>0.622</v>
      </c>
      <c r="V656" s="5">
        <v>0.9</v>
      </c>
      <c r="W656" s="5">
        <v>0.9</v>
      </c>
      <c r="X656" s="4">
        <v>21.26</v>
      </c>
    </row>
    <row r="657" customHeight="1" spans="2:28">
      <c r="B657" s="6" t="str">
        <f t="shared" si="10"/>
        <v>43115-DT1EJ20250101-A-JIEU8018198-PARTS</v>
      </c>
      <c r="C657" t="s">
        <v>80</v>
      </c>
      <c r="D657" t="s">
        <v>81</v>
      </c>
      <c r="E657" t="s">
        <v>465</v>
      </c>
      <c r="F657" t="s">
        <v>466</v>
      </c>
      <c r="G657" s="1" t="s">
        <v>84</v>
      </c>
      <c r="I657" s="1" t="s">
        <v>85</v>
      </c>
      <c r="J657" s="1" t="s">
        <v>476</v>
      </c>
      <c r="K657" s="1" t="s">
        <v>87</v>
      </c>
      <c r="L657">
        <v>8708999709</v>
      </c>
      <c r="M657" s="2" t="s">
        <v>88</v>
      </c>
      <c r="N657" s="3" t="s">
        <v>89</v>
      </c>
      <c r="O657" s="1">
        <v>1</v>
      </c>
      <c r="P657" s="4">
        <v>831.11</v>
      </c>
      <c r="Q657" s="4">
        <v>66.62</v>
      </c>
      <c r="R657" s="4">
        <v>1.92</v>
      </c>
      <c r="S657" s="4">
        <v>899.65</v>
      </c>
      <c r="T657" s="5">
        <v>7.824</v>
      </c>
      <c r="U657" s="5">
        <v>7.824</v>
      </c>
      <c r="V657" s="5">
        <v>11.27</v>
      </c>
      <c r="W657" s="5">
        <v>11.27</v>
      </c>
      <c r="X657" s="4">
        <v>899.65</v>
      </c>
    </row>
    <row r="658" customHeight="1" spans="2:28">
      <c r="B658" s="6" t="str">
        <f t="shared" si="10"/>
        <v>43115-DT1EJ20250101-A-JIEU8018198-PARTS</v>
      </c>
      <c r="C658" s="29" t="s">
        <v>80</v>
      </c>
      <c r="D658" s="30" t="s">
        <v>81</v>
      </c>
      <c r="E658" s="30" t="s">
        <v>465</v>
      </c>
      <c r="F658" s="30" t="s">
        <v>466</v>
      </c>
      <c r="G658" s="31" t="s">
        <v>84</v>
      </c>
      <c r="H658" s="31"/>
      <c r="I658" s="31" t="s">
        <v>85</v>
      </c>
      <c r="J658" s="31" t="s">
        <v>476</v>
      </c>
      <c r="K658" s="31" t="s">
        <v>90</v>
      </c>
      <c r="L658" s="31">
        <v>8708299009</v>
      </c>
      <c r="M658" s="32" t="s">
        <v>91</v>
      </c>
      <c r="N658" s="33" t="s">
        <v>92</v>
      </c>
      <c r="O658" s="31">
        <v>1</v>
      </c>
      <c r="P658" s="34">
        <v>20</v>
      </c>
      <c r="Q658" s="34">
        <v>1.6</v>
      </c>
      <c r="R658" s="34">
        <v>0.05</v>
      </c>
      <c r="S658" s="34">
        <v>21.65</v>
      </c>
      <c r="T658" s="35">
        <v>0.633</v>
      </c>
      <c r="U658" s="35">
        <v>0.633</v>
      </c>
      <c r="V658" s="35">
        <v>0.91</v>
      </c>
      <c r="W658" s="35">
        <v>0.91</v>
      </c>
      <c r="X658" s="34">
        <v>21.65</v>
      </c>
      <c r="Y658" s="31"/>
      <c r="Z658" s="31"/>
      <c r="AA658" s="31"/>
      <c r="AB658" s="31"/>
    </row>
    <row r="659" customHeight="1" spans="2:28">
      <c r="B659" s="6" t="str">
        <f t="shared" si="10"/>
        <v>43115-DT1EJ20250101-A-JIEU8018198-PARTS</v>
      </c>
      <c r="C659" s="29" t="s">
        <v>80</v>
      </c>
      <c r="D659" s="30" t="s">
        <v>81</v>
      </c>
      <c r="E659" s="30" t="s">
        <v>465</v>
      </c>
      <c r="F659" s="30" t="s">
        <v>466</v>
      </c>
      <c r="G659" s="31" t="s">
        <v>84</v>
      </c>
      <c r="H659" s="31"/>
      <c r="I659" s="31" t="s">
        <v>85</v>
      </c>
      <c r="J659" s="31" t="s">
        <v>476</v>
      </c>
      <c r="K659" s="31" t="s">
        <v>93</v>
      </c>
      <c r="L659" s="31">
        <v>8708299009</v>
      </c>
      <c r="M659" s="32" t="s">
        <v>94</v>
      </c>
      <c r="N659" s="33" t="s">
        <v>95</v>
      </c>
      <c r="O659" s="31">
        <v>1</v>
      </c>
      <c r="P659" s="34">
        <v>19.64</v>
      </c>
      <c r="Q659" s="34">
        <v>1.57</v>
      </c>
      <c r="R659" s="34">
        <v>0.05</v>
      </c>
      <c r="S659" s="34">
        <v>21.26</v>
      </c>
      <c r="T659" s="35">
        <v>0.622</v>
      </c>
      <c r="U659" s="35">
        <v>0.622</v>
      </c>
      <c r="V659" s="35">
        <v>0.9</v>
      </c>
      <c r="W659" s="35">
        <v>0.9</v>
      </c>
      <c r="X659" s="34">
        <v>21.26</v>
      </c>
      <c r="Y659" s="31"/>
      <c r="Z659" s="31"/>
      <c r="AA659" s="31"/>
      <c r="AB659" s="31"/>
    </row>
    <row r="660" customHeight="1" spans="2:28">
      <c r="B660" s="6" t="str">
        <f t="shared" si="10"/>
        <v>43115-DT1EJ20250101-A-JIEU8018198-PARTS</v>
      </c>
      <c r="C660" s="29" t="s">
        <v>80</v>
      </c>
      <c r="D660" s="30" t="s">
        <v>81</v>
      </c>
      <c r="E660" s="30" t="s">
        <v>465</v>
      </c>
      <c r="F660" s="30" t="s">
        <v>466</v>
      </c>
      <c r="G660" s="31" t="s">
        <v>84</v>
      </c>
      <c r="H660" s="31"/>
      <c r="I660" s="31" t="s">
        <v>85</v>
      </c>
      <c r="J660" s="31" t="s">
        <v>476</v>
      </c>
      <c r="K660" s="31" t="s">
        <v>87</v>
      </c>
      <c r="L660" s="31">
        <v>8708999709</v>
      </c>
      <c r="M660" s="32" t="s">
        <v>88</v>
      </c>
      <c r="N660" s="33" t="s">
        <v>89</v>
      </c>
      <c r="O660" s="31">
        <v>1</v>
      </c>
      <c r="P660" s="34">
        <v>831.11</v>
      </c>
      <c r="Q660" s="34">
        <v>66.62</v>
      </c>
      <c r="R660" s="34">
        <v>1.92</v>
      </c>
      <c r="S660" s="34">
        <v>899.65</v>
      </c>
      <c r="T660" s="35">
        <v>7.824</v>
      </c>
      <c r="U660" s="35">
        <v>7.824</v>
      </c>
      <c r="V660" s="35">
        <v>11.27</v>
      </c>
      <c r="W660" s="35">
        <v>11.27</v>
      </c>
      <c r="X660" s="34">
        <v>899.65</v>
      </c>
      <c r="Y660" s="31"/>
      <c r="Z660" s="31"/>
      <c r="AA660" s="31"/>
      <c r="AB660" s="31"/>
    </row>
    <row r="661" customHeight="1" spans="2:28">
      <c r="B661" s="6" t="str">
        <f t="shared" si="10"/>
        <v>43115-DT1EJ20250101-A-JIEU8018198-PARTS</v>
      </c>
      <c r="C661" s="29" t="s">
        <v>80</v>
      </c>
      <c r="D661" s="30" t="s">
        <v>81</v>
      </c>
      <c r="E661" s="30" t="s">
        <v>465</v>
      </c>
      <c r="F661" s="30" t="s">
        <v>466</v>
      </c>
      <c r="G661" s="31" t="s">
        <v>84</v>
      </c>
      <c r="H661" s="31"/>
      <c r="I661" s="31" t="s">
        <v>85</v>
      </c>
      <c r="J661" s="31" t="s">
        <v>476</v>
      </c>
      <c r="K661" s="31" t="s">
        <v>90</v>
      </c>
      <c r="L661" s="31">
        <v>8708299009</v>
      </c>
      <c r="M661" s="32" t="s">
        <v>91</v>
      </c>
      <c r="N661" s="33" t="s">
        <v>92</v>
      </c>
      <c r="O661" s="31">
        <v>1</v>
      </c>
      <c r="P661" s="34">
        <v>20</v>
      </c>
      <c r="Q661" s="34">
        <v>1.6</v>
      </c>
      <c r="R661" s="34">
        <v>0.05</v>
      </c>
      <c r="S661" s="34">
        <v>21.65</v>
      </c>
      <c r="T661" s="35">
        <v>0.633</v>
      </c>
      <c r="U661" s="35">
        <v>0.633</v>
      </c>
      <c r="V661" s="35">
        <v>0.91</v>
      </c>
      <c r="W661" s="35">
        <v>0.91</v>
      </c>
      <c r="X661" s="34">
        <v>21.65</v>
      </c>
      <c r="Y661" s="31"/>
      <c r="Z661" s="31"/>
      <c r="AA661" s="31"/>
      <c r="AB661" s="31"/>
    </row>
    <row r="662" customHeight="1" spans="2:28">
      <c r="B662" s="6" t="str">
        <f t="shared" si="10"/>
        <v>43115-DT1EJ20250101-A-JIEU8018198-PARTS</v>
      </c>
      <c r="C662" s="29" t="s">
        <v>80</v>
      </c>
      <c r="D662" s="30" t="s">
        <v>81</v>
      </c>
      <c r="E662" s="30" t="s">
        <v>465</v>
      </c>
      <c r="F662" s="30" t="s">
        <v>466</v>
      </c>
      <c r="G662" s="31" t="s">
        <v>84</v>
      </c>
      <c r="H662" s="31"/>
      <c r="I662" s="31" t="s">
        <v>85</v>
      </c>
      <c r="J662" s="31" t="s">
        <v>476</v>
      </c>
      <c r="K662" s="31" t="s">
        <v>93</v>
      </c>
      <c r="L662" s="31">
        <v>8708299009</v>
      </c>
      <c r="M662" s="32" t="s">
        <v>94</v>
      </c>
      <c r="N662" s="33" t="s">
        <v>95</v>
      </c>
      <c r="O662" s="31">
        <v>1</v>
      </c>
      <c r="P662" s="34">
        <v>19.64</v>
      </c>
      <c r="Q662" s="34">
        <v>1.57</v>
      </c>
      <c r="R662" s="34">
        <v>0.05</v>
      </c>
      <c r="S662" s="34">
        <v>21.26</v>
      </c>
      <c r="T662" s="35">
        <v>0.622</v>
      </c>
      <c r="U662" s="35">
        <v>0.622</v>
      </c>
      <c r="V662" s="35">
        <v>0.9</v>
      </c>
      <c r="W662" s="35">
        <v>0.9</v>
      </c>
      <c r="X662" s="34">
        <v>21.26</v>
      </c>
      <c r="Y662" s="31"/>
      <c r="Z662" s="31"/>
      <c r="AA662" s="31"/>
      <c r="AB662" s="31"/>
    </row>
    <row r="663" spans="2:28">
      <c r="B663" s="6" t="str">
        <f t="shared" si="10"/>
        <v>43115-DT1EJ20250101-A-JIEU8018198-PARTS</v>
      </c>
      <c r="C663" t="s">
        <v>80</v>
      </c>
      <c r="D663" t="s">
        <v>81</v>
      </c>
      <c r="E663" t="s">
        <v>465</v>
      </c>
      <c r="F663" t="s">
        <v>466</v>
      </c>
      <c r="G663" s="1" t="s">
        <v>84</v>
      </c>
      <c r="I663" s="1" t="s">
        <v>85</v>
      </c>
      <c r="J663" s="1" t="s">
        <v>476</v>
      </c>
      <c r="K663" s="1" t="s">
        <v>87</v>
      </c>
      <c r="L663">
        <v>8708999709</v>
      </c>
      <c r="M663" s="2" t="s">
        <v>88</v>
      </c>
      <c r="N663" s="3" t="s">
        <v>89</v>
      </c>
      <c r="O663" s="1">
        <v>1</v>
      </c>
      <c r="P663" s="4">
        <v>831.11</v>
      </c>
      <c r="Q663" s="4">
        <v>66.62</v>
      </c>
      <c r="R663" s="4">
        <v>1.92</v>
      </c>
      <c r="S663" s="4">
        <v>899.65</v>
      </c>
      <c r="T663" s="5">
        <v>7.824</v>
      </c>
      <c r="U663" s="5">
        <v>7.824</v>
      </c>
      <c r="V663" s="5">
        <v>11.27</v>
      </c>
      <c r="W663" s="5">
        <v>11.27</v>
      </c>
      <c r="X663" s="4">
        <v>899.65</v>
      </c>
    </row>
    <row r="664" customHeight="1" spans="2:28">
      <c r="B664" s="6" t="str">
        <f t="shared" si="10"/>
        <v>43115-DT1EJ20250101-A-JIEU8018198-PARTS</v>
      </c>
      <c r="C664" s="29" t="s">
        <v>80</v>
      </c>
      <c r="D664" s="30" t="s">
        <v>81</v>
      </c>
      <c r="E664" s="30" t="s">
        <v>465</v>
      </c>
      <c r="F664" s="30" t="s">
        <v>466</v>
      </c>
      <c r="G664" s="31" t="s">
        <v>84</v>
      </c>
      <c r="H664" s="31"/>
      <c r="I664" s="31" t="s">
        <v>85</v>
      </c>
      <c r="J664" s="31" t="s">
        <v>476</v>
      </c>
      <c r="K664" s="31" t="s">
        <v>90</v>
      </c>
      <c r="L664" s="31">
        <v>8708299009</v>
      </c>
      <c r="M664" s="32" t="s">
        <v>91</v>
      </c>
      <c r="N664" s="33" t="s">
        <v>92</v>
      </c>
      <c r="O664" s="31">
        <v>1</v>
      </c>
      <c r="P664" s="34">
        <v>20</v>
      </c>
      <c r="Q664" s="34">
        <v>1.6</v>
      </c>
      <c r="R664" s="34">
        <v>0.05</v>
      </c>
      <c r="S664" s="34">
        <v>21.65</v>
      </c>
      <c r="T664" s="35">
        <v>0.633</v>
      </c>
      <c r="U664" s="35">
        <v>0.633</v>
      </c>
      <c r="V664" s="35">
        <v>0.91</v>
      </c>
      <c r="W664" s="35">
        <v>0.91</v>
      </c>
      <c r="X664" s="34">
        <v>21.65</v>
      </c>
      <c r="Y664" s="31"/>
      <c r="Z664" s="31"/>
      <c r="AA664" s="31"/>
      <c r="AB664" s="31"/>
    </row>
    <row r="665" customHeight="1" spans="2:28">
      <c r="B665" s="6" t="str">
        <f t="shared" si="10"/>
        <v>43115-DT1EJ20250101-A-JIEU8018198-PARTS</v>
      </c>
      <c r="C665" s="29" t="s">
        <v>80</v>
      </c>
      <c r="D665" s="30" t="s">
        <v>81</v>
      </c>
      <c r="E665" s="30" t="s">
        <v>465</v>
      </c>
      <c r="F665" s="30" t="s">
        <v>466</v>
      </c>
      <c r="G665" s="31" t="s">
        <v>84</v>
      </c>
      <c r="H665" s="31"/>
      <c r="I665" s="31" t="s">
        <v>85</v>
      </c>
      <c r="J665" s="31" t="s">
        <v>476</v>
      </c>
      <c r="K665" s="31" t="s">
        <v>93</v>
      </c>
      <c r="L665" s="31">
        <v>8708299009</v>
      </c>
      <c r="M665" s="32" t="s">
        <v>94</v>
      </c>
      <c r="N665" s="33" t="s">
        <v>95</v>
      </c>
      <c r="O665" s="31">
        <v>1</v>
      </c>
      <c r="P665" s="34">
        <v>19.64</v>
      </c>
      <c r="Q665" s="34">
        <v>1.57</v>
      </c>
      <c r="R665" s="34">
        <v>0.05</v>
      </c>
      <c r="S665" s="34">
        <v>21.26</v>
      </c>
      <c r="T665" s="35">
        <v>0.622</v>
      </c>
      <c r="U665" s="35">
        <v>0.622</v>
      </c>
      <c r="V665" s="35">
        <v>0.9</v>
      </c>
      <c r="W665" s="35">
        <v>0.9</v>
      </c>
      <c r="X665" s="34">
        <v>21.26</v>
      </c>
      <c r="Y665" s="31"/>
      <c r="Z665" s="31"/>
      <c r="AA665" s="31"/>
      <c r="AB665" s="31"/>
    </row>
    <row r="666" customHeight="1" spans="2:28">
      <c r="B666" s="6" t="str">
        <f t="shared" si="10"/>
        <v>43115-DT1EJ20250101-A-JIEU8018198-PARTS</v>
      </c>
      <c r="C666" t="s">
        <v>80</v>
      </c>
      <c r="D666" t="s">
        <v>81</v>
      </c>
      <c r="E666" t="s">
        <v>465</v>
      </c>
      <c r="F666" t="s">
        <v>466</v>
      </c>
      <c r="G666" s="1" t="s">
        <v>84</v>
      </c>
      <c r="I666" s="1" t="s">
        <v>85</v>
      </c>
      <c r="J666" s="1" t="s">
        <v>476</v>
      </c>
      <c r="K666" s="1" t="s">
        <v>87</v>
      </c>
      <c r="L666">
        <v>8708999709</v>
      </c>
      <c r="M666" s="2" t="s">
        <v>88</v>
      </c>
      <c r="N666" s="3" t="s">
        <v>89</v>
      </c>
      <c r="O666" s="1">
        <v>1</v>
      </c>
      <c r="P666" s="4">
        <v>831.11</v>
      </c>
      <c r="Q666" s="4">
        <v>66.62</v>
      </c>
      <c r="R666" s="4">
        <v>1.92</v>
      </c>
      <c r="S666" s="4">
        <v>899.65</v>
      </c>
      <c r="T666" s="5">
        <v>7.824</v>
      </c>
      <c r="U666" s="5">
        <v>7.824</v>
      </c>
      <c r="V666" s="5">
        <v>11.27</v>
      </c>
      <c r="W666" s="5">
        <v>11.27</v>
      </c>
      <c r="X666" s="4">
        <v>899.65</v>
      </c>
    </row>
    <row r="667" customHeight="1" spans="2:28">
      <c r="B667" s="6" t="str">
        <f t="shared" si="10"/>
        <v>43115-DT1EJ20250101-A-JIEU8018198-PARTS</v>
      </c>
      <c r="C667" s="29" t="s">
        <v>80</v>
      </c>
      <c r="D667" s="30" t="s">
        <v>81</v>
      </c>
      <c r="E667" s="30" t="s">
        <v>465</v>
      </c>
      <c r="F667" s="30" t="s">
        <v>466</v>
      </c>
      <c r="G667" s="31" t="s">
        <v>84</v>
      </c>
      <c r="H667" s="31"/>
      <c r="I667" s="31" t="s">
        <v>85</v>
      </c>
      <c r="J667" s="31" t="s">
        <v>476</v>
      </c>
      <c r="K667" s="31" t="s">
        <v>90</v>
      </c>
      <c r="L667" s="31">
        <v>8708299009</v>
      </c>
      <c r="M667" s="32" t="s">
        <v>91</v>
      </c>
      <c r="N667" s="33" t="s">
        <v>92</v>
      </c>
      <c r="O667" s="31">
        <v>1</v>
      </c>
      <c r="P667" s="34">
        <v>20</v>
      </c>
      <c r="Q667" s="34">
        <v>1.6</v>
      </c>
      <c r="R667" s="34">
        <v>0.05</v>
      </c>
      <c r="S667" s="34">
        <v>21.65</v>
      </c>
      <c r="T667" s="35">
        <v>0.633</v>
      </c>
      <c r="U667" s="35">
        <v>0.633</v>
      </c>
      <c r="V667" s="35">
        <v>0.91</v>
      </c>
      <c r="W667" s="35">
        <v>0.91</v>
      </c>
      <c r="X667" s="34">
        <v>21.65</v>
      </c>
      <c r="Y667" s="31"/>
      <c r="Z667" s="31"/>
      <c r="AA667" s="31"/>
      <c r="AB667" s="31"/>
    </row>
    <row r="668" customHeight="1" spans="2:28">
      <c r="B668" s="6" t="str">
        <f t="shared" si="10"/>
        <v>43115-DT1EJ20250101-A-JIEU8018198-PARTS</v>
      </c>
      <c r="C668" s="29" t="s">
        <v>80</v>
      </c>
      <c r="D668" s="30" t="s">
        <v>81</v>
      </c>
      <c r="E668" s="30" t="s">
        <v>465</v>
      </c>
      <c r="F668" s="30" t="s">
        <v>466</v>
      </c>
      <c r="G668" s="31" t="s">
        <v>84</v>
      </c>
      <c r="H668" s="31"/>
      <c r="I668" s="31" t="s">
        <v>85</v>
      </c>
      <c r="J668" s="31" t="s">
        <v>476</v>
      </c>
      <c r="K668" s="31" t="s">
        <v>93</v>
      </c>
      <c r="L668" s="31">
        <v>8708299009</v>
      </c>
      <c r="M668" s="32" t="s">
        <v>94</v>
      </c>
      <c r="N668" s="33" t="s">
        <v>95</v>
      </c>
      <c r="O668" s="31">
        <v>1</v>
      </c>
      <c r="P668" s="34">
        <v>19.64</v>
      </c>
      <c r="Q668" s="34">
        <v>1.57</v>
      </c>
      <c r="R668" s="34">
        <v>0.05</v>
      </c>
      <c r="S668" s="34">
        <v>21.26</v>
      </c>
      <c r="T668" s="35">
        <v>0.622</v>
      </c>
      <c r="U668" s="35">
        <v>0.622</v>
      </c>
      <c r="V668" s="35">
        <v>0.9</v>
      </c>
      <c r="W668" s="35">
        <v>0.9</v>
      </c>
      <c r="X668" s="34">
        <v>21.26</v>
      </c>
      <c r="Y668" s="31"/>
      <c r="Z668" s="31"/>
      <c r="AA668" s="31"/>
      <c r="AB668" s="31"/>
    </row>
    <row r="669" customHeight="1" spans="2:28">
      <c r="B669" s="6" t="str">
        <f t="shared" si="10"/>
        <v>43115-DT1EJ20250101-A-JIEU8018198-PARTS</v>
      </c>
      <c r="C669" t="s">
        <v>80</v>
      </c>
      <c r="D669" t="s">
        <v>81</v>
      </c>
      <c r="E669" t="s">
        <v>465</v>
      </c>
      <c r="F669" t="s">
        <v>466</v>
      </c>
      <c r="G669" s="1" t="s">
        <v>84</v>
      </c>
      <c r="I669" s="1" t="s">
        <v>85</v>
      </c>
      <c r="J669" s="1" t="s">
        <v>476</v>
      </c>
      <c r="K669" s="1" t="s">
        <v>87</v>
      </c>
      <c r="L669">
        <v>8708999709</v>
      </c>
      <c r="M669" s="2" t="s">
        <v>88</v>
      </c>
      <c r="N669" s="3" t="s">
        <v>89</v>
      </c>
      <c r="O669" s="1">
        <v>1</v>
      </c>
      <c r="P669" s="4">
        <v>831.11</v>
      </c>
      <c r="Q669" s="4">
        <v>66.62</v>
      </c>
      <c r="R669" s="4">
        <v>1.92</v>
      </c>
      <c r="S669" s="4">
        <v>899.65</v>
      </c>
      <c r="T669" s="5">
        <v>7.824</v>
      </c>
      <c r="U669" s="5">
        <v>7.824</v>
      </c>
      <c r="V669" s="5">
        <v>11.27</v>
      </c>
      <c r="W669" s="5">
        <v>11.27</v>
      </c>
      <c r="X669" s="4">
        <v>899.65</v>
      </c>
    </row>
    <row r="670" customHeight="1" spans="2:28">
      <c r="B670" s="6" t="str">
        <f t="shared" si="10"/>
        <v>43115-DT1EJ20250101-A-JIEU8018198-PARTS</v>
      </c>
      <c r="C670" t="s">
        <v>80</v>
      </c>
      <c r="D670" t="s">
        <v>81</v>
      </c>
      <c r="E670" t="s">
        <v>465</v>
      </c>
      <c r="F670" t="s">
        <v>466</v>
      </c>
      <c r="G670" s="1" t="s">
        <v>84</v>
      </c>
      <c r="I670" s="1" t="s">
        <v>85</v>
      </c>
      <c r="J670" s="1" t="s">
        <v>476</v>
      </c>
      <c r="K670" s="1" t="s">
        <v>90</v>
      </c>
      <c r="L670">
        <v>8708299009</v>
      </c>
      <c r="M670" s="2" t="s">
        <v>91</v>
      </c>
      <c r="N670" s="3" t="s">
        <v>92</v>
      </c>
      <c r="O670" s="1">
        <v>1</v>
      </c>
      <c r="P670" s="4">
        <v>20</v>
      </c>
      <c r="Q670" s="4">
        <v>1.6</v>
      </c>
      <c r="R670" s="4">
        <v>0.05</v>
      </c>
      <c r="S670" s="4">
        <v>21.65</v>
      </c>
      <c r="T670" s="5">
        <v>0.633</v>
      </c>
      <c r="U670" s="5">
        <v>0.633</v>
      </c>
      <c r="V670" s="5">
        <v>0.91</v>
      </c>
      <c r="W670" s="5">
        <v>0.91</v>
      </c>
      <c r="X670" s="4">
        <v>21.65</v>
      </c>
    </row>
    <row r="671" customHeight="1" spans="2:28">
      <c r="B671" s="6" t="str">
        <f t="shared" si="10"/>
        <v>43115-DT1EJ20250101-A-JIEU8018198-PARTS</v>
      </c>
      <c r="C671" t="s">
        <v>80</v>
      </c>
      <c r="D671" t="s">
        <v>81</v>
      </c>
      <c r="E671" t="s">
        <v>465</v>
      </c>
      <c r="F671" t="s">
        <v>466</v>
      </c>
      <c r="G671" s="1" t="s">
        <v>84</v>
      </c>
      <c r="I671" s="1" t="s">
        <v>85</v>
      </c>
      <c r="J671" s="1" t="s">
        <v>476</v>
      </c>
      <c r="K671" s="1" t="s">
        <v>93</v>
      </c>
      <c r="L671">
        <v>8708299009</v>
      </c>
      <c r="M671" s="2" t="s">
        <v>94</v>
      </c>
      <c r="N671" s="3" t="s">
        <v>95</v>
      </c>
      <c r="O671" s="1">
        <v>1</v>
      </c>
      <c r="P671" s="4">
        <v>19.64</v>
      </c>
      <c r="Q671" s="4">
        <v>1.57</v>
      </c>
      <c r="R671" s="4">
        <v>0.05</v>
      </c>
      <c r="S671" s="4">
        <v>21.26</v>
      </c>
      <c r="T671" s="5">
        <v>0.622</v>
      </c>
      <c r="U671" s="5">
        <v>0.622</v>
      </c>
      <c r="V671" s="5">
        <v>0.9</v>
      </c>
      <c r="W671" s="5">
        <v>0.9</v>
      </c>
      <c r="X671" s="4">
        <v>21.26</v>
      </c>
    </row>
    <row r="672" customHeight="1" spans="2:28">
      <c r="B672" s="6" t="str">
        <f t="shared" si="10"/>
        <v>43115-DT1EJ20250101-A-JIEU8018198-PARTS</v>
      </c>
      <c r="C672" t="s">
        <v>80</v>
      </c>
      <c r="D672" t="s">
        <v>81</v>
      </c>
      <c r="E672" t="s">
        <v>465</v>
      </c>
      <c r="F672" t="s">
        <v>466</v>
      </c>
      <c r="G672" s="1" t="s">
        <v>84</v>
      </c>
      <c r="I672" s="1" t="s">
        <v>85</v>
      </c>
      <c r="J672" s="1" t="s">
        <v>476</v>
      </c>
      <c r="K672" s="1" t="s">
        <v>87</v>
      </c>
      <c r="L672">
        <v>8708999709</v>
      </c>
      <c r="M672" s="2" t="s">
        <v>88</v>
      </c>
      <c r="N672" s="3" t="s">
        <v>89</v>
      </c>
      <c r="O672" s="1">
        <v>1</v>
      </c>
      <c r="P672" s="4">
        <v>831.11</v>
      </c>
      <c r="Q672" s="4">
        <v>66.62</v>
      </c>
      <c r="R672" s="4">
        <v>1.92</v>
      </c>
      <c r="S672" s="4">
        <v>899.65</v>
      </c>
      <c r="T672" s="5">
        <v>7.824</v>
      </c>
      <c r="U672" s="5">
        <v>7.824</v>
      </c>
      <c r="V672" s="5">
        <v>11.27</v>
      </c>
      <c r="W672" s="5">
        <v>11.27</v>
      </c>
      <c r="X672" s="4">
        <v>899.65</v>
      </c>
    </row>
    <row r="673" customHeight="1" spans="2:28">
      <c r="B673" s="6" t="str">
        <f t="shared" si="10"/>
        <v>43115-DT1EJ20250101-A-JIEU8018198-PARTS</v>
      </c>
      <c r="C673" t="s">
        <v>80</v>
      </c>
      <c r="D673" t="s">
        <v>81</v>
      </c>
      <c r="E673" t="s">
        <v>465</v>
      </c>
      <c r="F673" t="s">
        <v>466</v>
      </c>
      <c r="G673" s="1" t="s">
        <v>84</v>
      </c>
      <c r="I673" s="1" t="s">
        <v>85</v>
      </c>
      <c r="J673" s="1" t="s">
        <v>476</v>
      </c>
      <c r="K673" s="1" t="s">
        <v>90</v>
      </c>
      <c r="L673">
        <v>8708299009</v>
      </c>
      <c r="M673" s="2" t="s">
        <v>91</v>
      </c>
      <c r="N673" s="3" t="s">
        <v>92</v>
      </c>
      <c r="O673" s="1">
        <v>1</v>
      </c>
      <c r="P673" s="4">
        <v>20</v>
      </c>
      <c r="Q673" s="4">
        <v>1.6</v>
      </c>
      <c r="R673" s="4">
        <v>0.05</v>
      </c>
      <c r="S673" s="4">
        <v>21.65</v>
      </c>
      <c r="T673" s="5">
        <v>0.633</v>
      </c>
      <c r="U673" s="5">
        <v>0.633</v>
      </c>
      <c r="V673" s="5">
        <v>0.91</v>
      </c>
      <c r="W673" s="5">
        <v>0.91</v>
      </c>
      <c r="X673" s="4">
        <v>21.65</v>
      </c>
    </row>
    <row r="674" customHeight="1" spans="2:28">
      <c r="B674" s="6" t="str">
        <f t="shared" si="10"/>
        <v>43115-DT1EJ20250101-A-JIEU8018198-PARTS</v>
      </c>
      <c r="C674" s="29" t="s">
        <v>80</v>
      </c>
      <c r="D674" s="30" t="s">
        <v>81</v>
      </c>
      <c r="E674" s="30" t="s">
        <v>465</v>
      </c>
      <c r="F674" s="30" t="s">
        <v>466</v>
      </c>
      <c r="G674" s="31" t="s">
        <v>84</v>
      </c>
      <c r="H674" s="31"/>
      <c r="I674" s="31" t="s">
        <v>85</v>
      </c>
      <c r="J674" s="31" t="s">
        <v>476</v>
      </c>
      <c r="K674" s="31" t="s">
        <v>93</v>
      </c>
      <c r="L674" s="31">
        <v>8708299009</v>
      </c>
      <c r="M674" s="32" t="s">
        <v>94</v>
      </c>
      <c r="N674" s="33" t="s">
        <v>95</v>
      </c>
      <c r="O674" s="31">
        <v>1</v>
      </c>
      <c r="P674" s="34">
        <v>19.64</v>
      </c>
      <c r="Q674" s="34">
        <v>1.57</v>
      </c>
      <c r="R674" s="34">
        <v>0.05</v>
      </c>
      <c r="S674" s="34">
        <v>21.26</v>
      </c>
      <c r="T674" s="35">
        <v>0.622</v>
      </c>
      <c r="U674" s="35">
        <v>0.622</v>
      </c>
      <c r="V674" s="35">
        <v>0.9</v>
      </c>
      <c r="W674" s="35">
        <v>0.9</v>
      </c>
      <c r="X674" s="34">
        <v>21.26</v>
      </c>
      <c r="Y674" s="31"/>
      <c r="Z674" s="31"/>
      <c r="AA674" s="31"/>
      <c r="AB674" s="31"/>
    </row>
    <row r="675" customHeight="1" spans="2:28">
      <c r="B675" s="6" t="str">
        <f t="shared" si="10"/>
        <v>43115-DT1EJ20250101-A-JIEU8018198-PARTS</v>
      </c>
      <c r="C675" s="29" t="s">
        <v>80</v>
      </c>
      <c r="D675" s="30" t="s">
        <v>81</v>
      </c>
      <c r="E675" s="30" t="s">
        <v>465</v>
      </c>
      <c r="F675" s="30" t="s">
        <v>466</v>
      </c>
      <c r="G675" s="31" t="s">
        <v>84</v>
      </c>
      <c r="H675" s="31"/>
      <c r="I675" s="31" t="s">
        <v>85</v>
      </c>
      <c r="J675" s="31" t="s">
        <v>476</v>
      </c>
      <c r="K675" s="31" t="s">
        <v>87</v>
      </c>
      <c r="L675" s="31">
        <v>8708999709</v>
      </c>
      <c r="M675" s="32" t="s">
        <v>88</v>
      </c>
      <c r="N675" s="33" t="s">
        <v>89</v>
      </c>
      <c r="O675" s="31">
        <v>1</v>
      </c>
      <c r="P675" s="34">
        <v>831.11</v>
      </c>
      <c r="Q675" s="34">
        <v>66.62</v>
      </c>
      <c r="R675" s="34">
        <v>1.92</v>
      </c>
      <c r="S675" s="34">
        <v>899.65</v>
      </c>
      <c r="T675" s="35">
        <v>7.824</v>
      </c>
      <c r="U675" s="35">
        <v>7.824</v>
      </c>
      <c r="V675" s="35">
        <v>11.27</v>
      </c>
      <c r="W675" s="35">
        <v>11.27</v>
      </c>
      <c r="X675" s="34">
        <v>899.65</v>
      </c>
      <c r="Y675" s="31"/>
      <c r="Z675" s="31"/>
      <c r="AA675" s="31"/>
      <c r="AB675" s="31"/>
    </row>
    <row r="676" customHeight="1" spans="2:28">
      <c r="B676" s="6" t="str">
        <f t="shared" si="10"/>
        <v>43115-DT1EJ20250101-A-JIEU8018198-PARTS</v>
      </c>
      <c r="C676" s="29" t="s">
        <v>80</v>
      </c>
      <c r="D676" s="30" t="s">
        <v>81</v>
      </c>
      <c r="E676" s="30" t="s">
        <v>465</v>
      </c>
      <c r="F676" s="30" t="s">
        <v>466</v>
      </c>
      <c r="G676" s="31" t="s">
        <v>84</v>
      </c>
      <c r="H676" s="31"/>
      <c r="I676" s="31" t="s">
        <v>85</v>
      </c>
      <c r="J676" s="31" t="s">
        <v>476</v>
      </c>
      <c r="K676" s="31" t="s">
        <v>90</v>
      </c>
      <c r="L676" s="31">
        <v>8708299009</v>
      </c>
      <c r="M676" s="32" t="s">
        <v>91</v>
      </c>
      <c r="N676" s="33" t="s">
        <v>92</v>
      </c>
      <c r="O676" s="31">
        <v>1</v>
      </c>
      <c r="P676" s="34">
        <v>20</v>
      </c>
      <c r="Q676" s="34">
        <v>1.6</v>
      </c>
      <c r="R676" s="34">
        <v>0.05</v>
      </c>
      <c r="S676" s="34">
        <v>21.65</v>
      </c>
      <c r="T676" s="35">
        <v>0.633</v>
      </c>
      <c r="U676" s="35">
        <v>0.633</v>
      </c>
      <c r="V676" s="35">
        <v>0.91</v>
      </c>
      <c r="W676" s="35">
        <v>0.91</v>
      </c>
      <c r="X676" s="34">
        <v>21.65</v>
      </c>
      <c r="Y676" s="31"/>
      <c r="Z676" s="31"/>
      <c r="AA676" s="31"/>
      <c r="AB676" s="31"/>
    </row>
    <row r="677" customHeight="1" spans="2:28">
      <c r="B677" s="6" t="str">
        <f t="shared" si="10"/>
        <v>43115-DT1EJ20250101-A-JIEU8018198-PARTS</v>
      </c>
      <c r="C677" s="29" t="s">
        <v>80</v>
      </c>
      <c r="D677" s="30" t="s">
        <v>81</v>
      </c>
      <c r="E677" s="30" t="s">
        <v>465</v>
      </c>
      <c r="F677" s="30" t="s">
        <v>466</v>
      </c>
      <c r="G677" s="31" t="s">
        <v>84</v>
      </c>
      <c r="H677" s="31"/>
      <c r="I677" s="31" t="s">
        <v>85</v>
      </c>
      <c r="J677" s="31" t="s">
        <v>476</v>
      </c>
      <c r="K677" s="31" t="s">
        <v>93</v>
      </c>
      <c r="L677" s="31">
        <v>8708299009</v>
      </c>
      <c r="M677" s="32" t="s">
        <v>94</v>
      </c>
      <c r="N677" s="33" t="s">
        <v>95</v>
      </c>
      <c r="O677" s="31">
        <v>1</v>
      </c>
      <c r="P677" s="34">
        <v>19.64</v>
      </c>
      <c r="Q677" s="34">
        <v>1.57</v>
      </c>
      <c r="R677" s="34">
        <v>0.05</v>
      </c>
      <c r="S677" s="34">
        <v>21.26</v>
      </c>
      <c r="T677" s="35">
        <v>0.622</v>
      </c>
      <c r="U677" s="35">
        <v>0.622</v>
      </c>
      <c r="V677" s="35">
        <v>0.9</v>
      </c>
      <c r="W677" s="35">
        <v>0.9</v>
      </c>
      <c r="X677" s="34">
        <v>21.26</v>
      </c>
      <c r="Y677" s="31"/>
      <c r="Z677" s="31"/>
      <c r="AA677" s="31"/>
      <c r="AB677" s="31"/>
    </row>
    <row r="678" customHeight="1" spans="2:28">
      <c r="B678" s="6" t="str">
        <f t="shared" si="10"/>
        <v>43115-DT1EJ20250101-A-JIEU8018198-PARTS</v>
      </c>
      <c r="C678" s="29" t="s">
        <v>80</v>
      </c>
      <c r="D678" s="30" t="s">
        <v>81</v>
      </c>
      <c r="E678" s="30" t="s">
        <v>465</v>
      </c>
      <c r="F678" s="30" t="s">
        <v>466</v>
      </c>
      <c r="G678" s="31" t="s">
        <v>84</v>
      </c>
      <c r="H678" s="31"/>
      <c r="I678" s="31" t="s">
        <v>85</v>
      </c>
      <c r="J678" s="31" t="s">
        <v>476</v>
      </c>
      <c r="K678" s="31" t="s">
        <v>87</v>
      </c>
      <c r="L678" s="31">
        <v>8708999709</v>
      </c>
      <c r="M678" s="32" t="s">
        <v>88</v>
      </c>
      <c r="N678" s="33" t="s">
        <v>89</v>
      </c>
      <c r="O678" s="31">
        <v>1</v>
      </c>
      <c r="P678" s="34">
        <v>831.11</v>
      </c>
      <c r="Q678" s="34">
        <v>66.62</v>
      </c>
      <c r="R678" s="34">
        <v>1.92</v>
      </c>
      <c r="S678" s="34">
        <v>899.65</v>
      </c>
      <c r="T678" s="35">
        <v>7.824</v>
      </c>
      <c r="U678" s="35">
        <v>7.824</v>
      </c>
      <c r="V678" s="35">
        <v>11.27</v>
      </c>
      <c r="W678" s="35">
        <v>11.27</v>
      </c>
      <c r="X678" s="34">
        <v>899.65</v>
      </c>
      <c r="Y678" s="31"/>
      <c r="Z678" s="31"/>
      <c r="AA678" s="31"/>
      <c r="AB678" s="31"/>
    </row>
    <row r="679" customHeight="1" spans="2:28">
      <c r="B679" s="6" t="str">
        <f t="shared" si="10"/>
        <v>43115-DT1EJ20250101-A-JIEU8018198-PARTS</v>
      </c>
      <c r="C679" s="29" t="s">
        <v>80</v>
      </c>
      <c r="D679" s="30" t="s">
        <v>81</v>
      </c>
      <c r="E679" s="30" t="s">
        <v>465</v>
      </c>
      <c r="F679" s="30" t="s">
        <v>466</v>
      </c>
      <c r="G679" s="31" t="s">
        <v>84</v>
      </c>
      <c r="H679" s="31"/>
      <c r="I679" s="31" t="s">
        <v>85</v>
      </c>
      <c r="J679" s="31" t="s">
        <v>476</v>
      </c>
      <c r="K679" s="31" t="s">
        <v>90</v>
      </c>
      <c r="L679" s="31">
        <v>8708299009</v>
      </c>
      <c r="M679" s="32" t="s">
        <v>91</v>
      </c>
      <c r="N679" s="33" t="s">
        <v>92</v>
      </c>
      <c r="O679" s="31">
        <v>1</v>
      </c>
      <c r="P679" s="34">
        <v>20</v>
      </c>
      <c r="Q679" s="34">
        <v>1.6</v>
      </c>
      <c r="R679" s="34">
        <v>0.05</v>
      </c>
      <c r="S679" s="34">
        <v>21.65</v>
      </c>
      <c r="T679" s="35">
        <v>0.633</v>
      </c>
      <c r="U679" s="35">
        <v>0.633</v>
      </c>
      <c r="V679" s="35">
        <v>0.91</v>
      </c>
      <c r="W679" s="35">
        <v>0.91</v>
      </c>
      <c r="X679" s="34">
        <v>21.65</v>
      </c>
      <c r="Y679" s="31"/>
      <c r="Z679" s="31"/>
      <c r="AA679" s="31"/>
      <c r="AB679" s="31"/>
    </row>
    <row r="680" customHeight="1" spans="2:28">
      <c r="B680" s="6" t="str">
        <f t="shared" si="10"/>
        <v>43115-DT1EJ20250101-A-JIEU8018198-PARTS</v>
      </c>
      <c r="C680" s="29" t="s">
        <v>80</v>
      </c>
      <c r="D680" s="30" t="s">
        <v>81</v>
      </c>
      <c r="E680" s="30" t="s">
        <v>465</v>
      </c>
      <c r="F680" s="30" t="s">
        <v>466</v>
      </c>
      <c r="G680" s="31" t="s">
        <v>84</v>
      </c>
      <c r="H680" s="31"/>
      <c r="I680" s="31" t="s">
        <v>85</v>
      </c>
      <c r="J680" s="31" t="s">
        <v>476</v>
      </c>
      <c r="K680" s="31" t="s">
        <v>93</v>
      </c>
      <c r="L680" s="31">
        <v>8708299009</v>
      </c>
      <c r="M680" s="32" t="s">
        <v>94</v>
      </c>
      <c r="N680" s="33" t="s">
        <v>95</v>
      </c>
      <c r="O680" s="31">
        <v>1</v>
      </c>
      <c r="P680" s="34">
        <v>19.64</v>
      </c>
      <c r="Q680" s="34">
        <v>1.57</v>
      </c>
      <c r="R680" s="34">
        <v>0.05</v>
      </c>
      <c r="S680" s="34">
        <v>21.26</v>
      </c>
      <c r="T680" s="35">
        <v>0.622</v>
      </c>
      <c r="U680" s="35">
        <v>0.622</v>
      </c>
      <c r="V680" s="35">
        <v>0.9</v>
      </c>
      <c r="W680" s="35">
        <v>0.9</v>
      </c>
      <c r="X680" s="34">
        <v>21.26</v>
      </c>
      <c r="Y680" s="31"/>
      <c r="Z680" s="31"/>
      <c r="AA680" s="31"/>
      <c r="AB680" s="31"/>
    </row>
    <row r="681" customHeight="1" spans="2:28">
      <c r="B681" s="6" t="str">
        <f t="shared" si="10"/>
        <v>43115-DT1EJ20250101-A-JIEU8018198-PARTS</v>
      </c>
      <c r="C681" s="29" t="s">
        <v>80</v>
      </c>
      <c r="D681" s="30" t="s">
        <v>81</v>
      </c>
      <c r="E681" s="30" t="s">
        <v>465</v>
      </c>
      <c r="F681" s="30" t="s">
        <v>466</v>
      </c>
      <c r="G681" s="31" t="s">
        <v>84</v>
      </c>
      <c r="H681" s="31"/>
      <c r="I681" s="31" t="s">
        <v>85</v>
      </c>
      <c r="J681" s="31" t="s">
        <v>476</v>
      </c>
      <c r="K681" s="31" t="s">
        <v>87</v>
      </c>
      <c r="L681" s="31">
        <v>8708999709</v>
      </c>
      <c r="M681" s="32" t="s">
        <v>88</v>
      </c>
      <c r="N681" s="33" t="s">
        <v>89</v>
      </c>
      <c r="O681" s="31">
        <v>1</v>
      </c>
      <c r="P681" s="34">
        <v>831.11</v>
      </c>
      <c r="Q681" s="34">
        <v>66.62</v>
      </c>
      <c r="R681" s="34">
        <v>1.92</v>
      </c>
      <c r="S681" s="34">
        <v>899.65</v>
      </c>
      <c r="T681" s="35">
        <v>7.824</v>
      </c>
      <c r="U681" s="35">
        <v>7.824</v>
      </c>
      <c r="V681" s="35">
        <v>11.27</v>
      </c>
      <c r="W681" s="35">
        <v>11.27</v>
      </c>
      <c r="X681" s="34">
        <v>899.65</v>
      </c>
      <c r="Y681" s="31"/>
      <c r="Z681" s="31"/>
      <c r="AA681" s="31"/>
      <c r="AB681" s="31"/>
    </row>
    <row r="682" customHeight="1" spans="2:28">
      <c r="B682" s="6" t="str">
        <f t="shared" si="10"/>
        <v>43115-DT1EJ20250101-A-JIEU8018198-PARTS</v>
      </c>
      <c r="C682" t="s">
        <v>80</v>
      </c>
      <c r="D682" t="s">
        <v>81</v>
      </c>
      <c r="E682" t="s">
        <v>465</v>
      </c>
      <c r="F682" t="s">
        <v>466</v>
      </c>
      <c r="G682" s="1" t="s">
        <v>84</v>
      </c>
      <c r="I682" s="1" t="s">
        <v>85</v>
      </c>
      <c r="J682" s="1" t="s">
        <v>476</v>
      </c>
      <c r="K682" s="1" t="s">
        <v>90</v>
      </c>
      <c r="L682">
        <v>8708299009</v>
      </c>
      <c r="M682" s="2" t="s">
        <v>91</v>
      </c>
      <c r="N682" s="3" t="s">
        <v>92</v>
      </c>
      <c r="O682" s="1">
        <v>1</v>
      </c>
      <c r="P682" s="4">
        <v>20</v>
      </c>
      <c r="Q682" s="4">
        <v>1.6</v>
      </c>
      <c r="R682" s="4">
        <v>0.05</v>
      </c>
      <c r="S682" s="4">
        <v>21.65</v>
      </c>
      <c r="T682" s="5">
        <v>0.633</v>
      </c>
      <c r="U682" s="5">
        <v>0.633</v>
      </c>
      <c r="V682" s="5">
        <v>0.91</v>
      </c>
      <c r="W682" s="5">
        <v>0.91</v>
      </c>
      <c r="X682" s="4">
        <v>21.65</v>
      </c>
    </row>
    <row r="683" customHeight="1" spans="2:28">
      <c r="B683" s="6" t="str">
        <f t="shared" si="10"/>
        <v>43115-DT1EJ20250101-A-JIEU8018198-PARTS</v>
      </c>
      <c r="C683" t="s">
        <v>80</v>
      </c>
      <c r="D683" t="s">
        <v>81</v>
      </c>
      <c r="E683" t="s">
        <v>465</v>
      </c>
      <c r="F683" t="s">
        <v>466</v>
      </c>
      <c r="G683" s="1" t="s">
        <v>84</v>
      </c>
      <c r="I683" s="1" t="s">
        <v>85</v>
      </c>
      <c r="J683" s="1" t="s">
        <v>476</v>
      </c>
      <c r="K683" s="1" t="s">
        <v>93</v>
      </c>
      <c r="L683">
        <v>8708299009</v>
      </c>
      <c r="M683" s="2" t="s">
        <v>94</v>
      </c>
      <c r="N683" s="3" t="s">
        <v>95</v>
      </c>
      <c r="O683" s="1">
        <v>1</v>
      </c>
      <c r="P683" s="4">
        <v>19.64</v>
      </c>
      <c r="Q683" s="4">
        <v>1.57</v>
      </c>
      <c r="R683" s="4">
        <v>0.05</v>
      </c>
      <c r="S683" s="4">
        <v>21.26</v>
      </c>
      <c r="T683" s="5">
        <v>0.622</v>
      </c>
      <c r="U683" s="5">
        <v>0.622</v>
      </c>
      <c r="V683" s="5">
        <v>0.9</v>
      </c>
      <c r="W683" s="5">
        <v>0.9</v>
      </c>
      <c r="X683" s="4">
        <v>21.26</v>
      </c>
    </row>
    <row r="684" customHeight="1" spans="2:28">
      <c r="B684" s="6" t="str">
        <f t="shared" si="10"/>
        <v>43115-DT1EJ20250101-A-JIEU8018198-PARTS</v>
      </c>
      <c r="C684" t="s">
        <v>80</v>
      </c>
      <c r="D684" t="s">
        <v>81</v>
      </c>
      <c r="E684" t="s">
        <v>465</v>
      </c>
      <c r="F684" t="s">
        <v>466</v>
      </c>
      <c r="G684" s="1" t="s">
        <v>84</v>
      </c>
      <c r="I684" s="1" t="s">
        <v>85</v>
      </c>
      <c r="J684" s="1" t="s">
        <v>476</v>
      </c>
      <c r="K684" s="1" t="s">
        <v>87</v>
      </c>
      <c r="L684">
        <v>8708999709</v>
      </c>
      <c r="M684" s="2" t="s">
        <v>88</v>
      </c>
      <c r="N684" s="3" t="s">
        <v>89</v>
      </c>
      <c r="O684" s="1">
        <v>1</v>
      </c>
      <c r="P684" s="4">
        <v>831.11</v>
      </c>
      <c r="Q684" s="4">
        <v>66.62</v>
      </c>
      <c r="R684" s="4">
        <v>1.92</v>
      </c>
      <c r="S684" s="4">
        <v>899.65</v>
      </c>
      <c r="T684" s="5">
        <v>7.824</v>
      </c>
      <c r="U684" s="5">
        <v>7.824</v>
      </c>
      <c r="V684" s="5">
        <v>11.27</v>
      </c>
      <c r="W684" s="5">
        <v>11.27</v>
      </c>
      <c r="X684" s="4">
        <v>899.65</v>
      </c>
    </row>
    <row r="685" customHeight="1" spans="2:28">
      <c r="B685" s="6" t="str">
        <f t="shared" si="10"/>
        <v>43115-DT1EJ20250101-A-JIEU8018198-PARTS</v>
      </c>
      <c r="C685" t="s">
        <v>80</v>
      </c>
      <c r="D685" t="s">
        <v>81</v>
      </c>
      <c r="E685" t="s">
        <v>465</v>
      </c>
      <c r="F685" t="s">
        <v>466</v>
      </c>
      <c r="G685" s="1" t="s">
        <v>84</v>
      </c>
      <c r="I685" s="1" t="s">
        <v>85</v>
      </c>
      <c r="J685" s="1" t="s">
        <v>476</v>
      </c>
      <c r="K685" s="1" t="s">
        <v>90</v>
      </c>
      <c r="L685">
        <v>8708299009</v>
      </c>
      <c r="M685" s="2" t="s">
        <v>91</v>
      </c>
      <c r="N685" s="3" t="s">
        <v>92</v>
      </c>
      <c r="O685" s="1">
        <v>1</v>
      </c>
      <c r="P685" s="4">
        <v>20</v>
      </c>
      <c r="Q685" s="4">
        <v>1.6</v>
      </c>
      <c r="R685" s="4">
        <v>0.05</v>
      </c>
      <c r="S685" s="4">
        <v>21.65</v>
      </c>
      <c r="T685" s="5">
        <v>0.633</v>
      </c>
      <c r="U685" s="5">
        <v>0.633</v>
      </c>
      <c r="V685" s="5">
        <v>0.91</v>
      </c>
      <c r="W685" s="5">
        <v>0.91</v>
      </c>
      <c r="X685" s="4">
        <v>21.65</v>
      </c>
    </row>
    <row r="686" customHeight="1" spans="2:28">
      <c r="B686" s="6" t="str">
        <f t="shared" si="10"/>
        <v>43115-DT1EJ20250101-A-JIEU8018198-PARTS</v>
      </c>
      <c r="C686" t="s">
        <v>80</v>
      </c>
      <c r="D686" t="s">
        <v>81</v>
      </c>
      <c r="E686" t="s">
        <v>465</v>
      </c>
      <c r="F686" t="s">
        <v>466</v>
      </c>
      <c r="G686" s="1" t="s">
        <v>84</v>
      </c>
      <c r="I686" s="1" t="s">
        <v>85</v>
      </c>
      <c r="J686" s="1" t="s">
        <v>476</v>
      </c>
      <c r="K686" s="1" t="s">
        <v>93</v>
      </c>
      <c r="L686">
        <v>8708299009</v>
      </c>
      <c r="M686" s="2" t="s">
        <v>94</v>
      </c>
      <c r="N686" s="3" t="s">
        <v>95</v>
      </c>
      <c r="O686" s="1">
        <v>1</v>
      </c>
      <c r="P686" s="4">
        <v>19.64</v>
      </c>
      <c r="Q686" s="4">
        <v>1.57</v>
      </c>
      <c r="R686" s="4">
        <v>0.05</v>
      </c>
      <c r="S686" s="4">
        <v>21.26</v>
      </c>
      <c r="T686" s="5">
        <v>0.622</v>
      </c>
      <c r="U686" s="5">
        <v>0.622</v>
      </c>
      <c r="V686" s="5">
        <v>0.9</v>
      </c>
      <c r="W686" s="5">
        <v>0.9</v>
      </c>
      <c r="X686" s="4">
        <v>21.26</v>
      </c>
    </row>
    <row r="687" customHeight="1" spans="2:28">
      <c r="B687" s="6" t="str">
        <f t="shared" si="10"/>
        <v>43115-DT1EJ20250101-A-JIEU8018198-PARTS</v>
      </c>
      <c r="C687" t="s">
        <v>80</v>
      </c>
      <c r="D687" t="s">
        <v>81</v>
      </c>
      <c r="E687" t="s">
        <v>465</v>
      </c>
      <c r="F687" t="s">
        <v>466</v>
      </c>
      <c r="G687" s="1" t="s">
        <v>84</v>
      </c>
      <c r="I687" s="1" t="s">
        <v>85</v>
      </c>
      <c r="J687" s="1" t="s">
        <v>476</v>
      </c>
      <c r="K687" s="1" t="s">
        <v>87</v>
      </c>
      <c r="L687">
        <v>8708999709</v>
      </c>
      <c r="M687" s="2" t="s">
        <v>88</v>
      </c>
      <c r="N687" s="3" t="s">
        <v>89</v>
      </c>
      <c r="O687" s="1">
        <v>1</v>
      </c>
      <c r="P687" s="4">
        <v>831.11</v>
      </c>
      <c r="Q687" s="4">
        <v>66.62</v>
      </c>
      <c r="R687" s="4">
        <v>1.92</v>
      </c>
      <c r="S687" s="4">
        <v>899.65</v>
      </c>
      <c r="T687" s="5">
        <v>7.824</v>
      </c>
      <c r="U687" s="5">
        <v>7.824</v>
      </c>
      <c r="V687" s="5">
        <v>11.27</v>
      </c>
      <c r="W687" s="5">
        <v>11.27</v>
      </c>
      <c r="X687" s="4">
        <v>899.65</v>
      </c>
    </row>
    <row r="688" customHeight="1" spans="2:28">
      <c r="B688" s="6" t="str">
        <f t="shared" si="10"/>
        <v>43115-DT1EJ20250101-A-JIEU8018198-PARTS</v>
      </c>
      <c r="C688" t="s">
        <v>80</v>
      </c>
      <c r="D688" t="s">
        <v>81</v>
      </c>
      <c r="E688" t="s">
        <v>465</v>
      </c>
      <c r="F688" t="s">
        <v>466</v>
      </c>
      <c r="G688" s="1" t="s">
        <v>84</v>
      </c>
      <c r="I688" s="1" t="s">
        <v>85</v>
      </c>
      <c r="J688" s="1" t="s">
        <v>476</v>
      </c>
      <c r="K688" s="1" t="s">
        <v>90</v>
      </c>
      <c r="L688">
        <v>8708299009</v>
      </c>
      <c r="M688" s="2" t="s">
        <v>91</v>
      </c>
      <c r="N688" s="3" t="s">
        <v>92</v>
      </c>
      <c r="O688" s="1">
        <v>1</v>
      </c>
      <c r="P688" s="4">
        <v>20</v>
      </c>
      <c r="Q688" s="4">
        <v>1.6</v>
      </c>
      <c r="R688" s="4">
        <v>0.05</v>
      </c>
      <c r="S688" s="4">
        <v>21.65</v>
      </c>
      <c r="T688" s="5">
        <v>0.633</v>
      </c>
      <c r="U688" s="5">
        <v>0.633</v>
      </c>
      <c r="V688" s="5">
        <v>0.91</v>
      </c>
      <c r="W688" s="5">
        <v>0.91</v>
      </c>
      <c r="X688" s="4">
        <v>21.65</v>
      </c>
    </row>
    <row r="689" customHeight="1" spans="2:28">
      <c r="B689" s="6" t="str">
        <f t="shared" si="10"/>
        <v>43115-DT1EJ20250101-A-JIEU8018198-PARTS</v>
      </c>
      <c r="C689" t="s">
        <v>80</v>
      </c>
      <c r="D689" t="s">
        <v>81</v>
      </c>
      <c r="E689" t="s">
        <v>465</v>
      </c>
      <c r="F689" t="s">
        <v>466</v>
      </c>
      <c r="G689" s="1" t="s">
        <v>84</v>
      </c>
      <c r="I689" s="1" t="s">
        <v>85</v>
      </c>
      <c r="J689" s="1" t="s">
        <v>476</v>
      </c>
      <c r="K689" s="1" t="s">
        <v>93</v>
      </c>
      <c r="L689">
        <v>8708299009</v>
      </c>
      <c r="M689" s="2" t="s">
        <v>94</v>
      </c>
      <c r="N689" s="3" t="s">
        <v>95</v>
      </c>
      <c r="O689" s="1">
        <v>1</v>
      </c>
      <c r="P689" s="4">
        <v>19.64</v>
      </c>
      <c r="Q689" s="4">
        <v>1.57</v>
      </c>
      <c r="R689" s="4">
        <v>0.05</v>
      </c>
      <c r="S689" s="4">
        <v>21.26</v>
      </c>
      <c r="T689" s="5">
        <v>0.622</v>
      </c>
      <c r="U689" s="5">
        <v>0.622</v>
      </c>
      <c r="V689" s="5">
        <v>0.9</v>
      </c>
      <c r="W689" s="5">
        <v>0.9</v>
      </c>
      <c r="X689" s="4">
        <v>21.26</v>
      </c>
    </row>
    <row r="690" customHeight="1" spans="2:28">
      <c r="B690" s="6" t="str">
        <f t="shared" si="10"/>
        <v>43115-DT1EJ20250101-A-JIEU8018198-PARTS</v>
      </c>
      <c r="C690" t="s">
        <v>80</v>
      </c>
      <c r="D690" t="s">
        <v>81</v>
      </c>
      <c r="E690" t="s">
        <v>465</v>
      </c>
      <c r="F690" t="s">
        <v>466</v>
      </c>
      <c r="G690" s="1" t="s">
        <v>84</v>
      </c>
      <c r="I690" s="1" t="s">
        <v>85</v>
      </c>
      <c r="J690" s="1" t="s">
        <v>476</v>
      </c>
      <c r="K690" s="1" t="s">
        <v>87</v>
      </c>
      <c r="L690">
        <v>8708999709</v>
      </c>
      <c r="M690" s="2" t="s">
        <v>88</v>
      </c>
      <c r="N690" s="3" t="s">
        <v>89</v>
      </c>
      <c r="O690" s="1">
        <v>1</v>
      </c>
      <c r="P690" s="4">
        <v>831.11</v>
      </c>
      <c r="Q690" s="4">
        <v>66.62</v>
      </c>
      <c r="R690" s="4">
        <v>1.92</v>
      </c>
      <c r="S690" s="4">
        <v>899.65</v>
      </c>
      <c r="T690" s="5">
        <v>7.824</v>
      </c>
      <c r="U690" s="5">
        <v>7.824</v>
      </c>
      <c r="V690" s="5">
        <v>11.27</v>
      </c>
      <c r="W690" s="5">
        <v>11.27</v>
      </c>
      <c r="X690" s="4">
        <v>899.65</v>
      </c>
    </row>
    <row r="691" customHeight="1" spans="2:28">
      <c r="B691" s="6" t="str">
        <f t="shared" si="10"/>
        <v>43115-DT1EJ20250101-A-JIEU8018198-PARTS</v>
      </c>
      <c r="C691" t="s">
        <v>80</v>
      </c>
      <c r="D691" t="s">
        <v>81</v>
      </c>
      <c r="E691" t="s">
        <v>465</v>
      </c>
      <c r="F691" t="s">
        <v>466</v>
      </c>
      <c r="G691" s="1" t="s">
        <v>84</v>
      </c>
      <c r="I691" s="1" t="s">
        <v>85</v>
      </c>
      <c r="J691" s="1" t="s">
        <v>476</v>
      </c>
      <c r="K691" s="1" t="s">
        <v>90</v>
      </c>
      <c r="L691">
        <v>8708299009</v>
      </c>
      <c r="M691" s="2" t="s">
        <v>91</v>
      </c>
      <c r="N691" s="3" t="s">
        <v>92</v>
      </c>
      <c r="O691" s="1">
        <v>1</v>
      </c>
      <c r="P691" s="4">
        <v>20</v>
      </c>
      <c r="Q691" s="4">
        <v>1.6</v>
      </c>
      <c r="R691" s="4">
        <v>0.05</v>
      </c>
      <c r="S691" s="4">
        <v>21.65</v>
      </c>
      <c r="T691" s="5">
        <v>0.633</v>
      </c>
      <c r="U691" s="5">
        <v>0.633</v>
      </c>
      <c r="V691" s="5">
        <v>0.91</v>
      </c>
      <c r="W691" s="5">
        <v>0.91</v>
      </c>
      <c r="X691" s="4">
        <v>21.65</v>
      </c>
    </row>
    <row r="692" customHeight="1" spans="2:28">
      <c r="B692" s="6" t="str">
        <f t="shared" si="10"/>
        <v>43115-DT1EJ20250101-A-JIEU8018198-PARTS</v>
      </c>
      <c r="C692" t="s">
        <v>80</v>
      </c>
      <c r="D692" t="s">
        <v>81</v>
      </c>
      <c r="E692" t="s">
        <v>465</v>
      </c>
      <c r="F692" t="s">
        <v>466</v>
      </c>
      <c r="G692" s="1" t="s">
        <v>84</v>
      </c>
      <c r="I692" s="1" t="s">
        <v>85</v>
      </c>
      <c r="J692" s="1" t="s">
        <v>476</v>
      </c>
      <c r="K692" s="1" t="s">
        <v>93</v>
      </c>
      <c r="L692">
        <v>8708299009</v>
      </c>
      <c r="M692" s="2" t="s">
        <v>94</v>
      </c>
      <c r="N692" s="3" t="s">
        <v>95</v>
      </c>
      <c r="O692" s="1">
        <v>1</v>
      </c>
      <c r="P692" s="4">
        <v>19.64</v>
      </c>
      <c r="Q692" s="4">
        <v>1.57</v>
      </c>
      <c r="R692" s="4">
        <v>0.05</v>
      </c>
      <c r="S692" s="4">
        <v>21.26</v>
      </c>
      <c r="T692" s="5">
        <v>0.622</v>
      </c>
      <c r="U692" s="5">
        <v>0.622</v>
      </c>
      <c r="V692" s="5">
        <v>0.9</v>
      </c>
      <c r="W692" s="5">
        <v>0.9</v>
      </c>
      <c r="X692" s="4">
        <v>21.26</v>
      </c>
    </row>
    <row r="693" customHeight="1" spans="2:28">
      <c r="B693" s="6" t="str">
        <f t="shared" si="10"/>
        <v>43115-DT1EJ20250101-A-JIEU8018198-PARTS</v>
      </c>
      <c r="C693" t="s">
        <v>80</v>
      </c>
      <c r="D693" t="s">
        <v>81</v>
      </c>
      <c r="E693" t="s">
        <v>465</v>
      </c>
      <c r="F693" t="s">
        <v>466</v>
      </c>
      <c r="G693" s="1" t="s">
        <v>84</v>
      </c>
      <c r="I693" s="1" t="s">
        <v>85</v>
      </c>
      <c r="J693" s="1" t="s">
        <v>476</v>
      </c>
      <c r="K693" s="1" t="s">
        <v>87</v>
      </c>
      <c r="L693">
        <v>8708999709</v>
      </c>
      <c r="M693" s="2" t="s">
        <v>88</v>
      </c>
      <c r="N693" s="3" t="s">
        <v>89</v>
      </c>
      <c r="O693" s="1">
        <v>1</v>
      </c>
      <c r="P693" s="4">
        <v>831.11</v>
      </c>
      <c r="Q693" s="4">
        <v>66.62</v>
      </c>
      <c r="R693" s="4">
        <v>1.92</v>
      </c>
      <c r="S693" s="4">
        <v>899.65</v>
      </c>
      <c r="T693" s="5">
        <v>7.824</v>
      </c>
      <c r="U693" s="5">
        <v>7.824</v>
      </c>
      <c r="V693" s="5">
        <v>11.27</v>
      </c>
      <c r="W693" s="5">
        <v>11.27</v>
      </c>
      <c r="X693" s="4">
        <v>899.65</v>
      </c>
    </row>
    <row r="694" customHeight="1" spans="2:28">
      <c r="B694" s="6" t="str">
        <f t="shared" si="10"/>
        <v>43115-DT1EJ20250101-A-JIEU8018198-PARTS</v>
      </c>
      <c r="C694" t="s">
        <v>80</v>
      </c>
      <c r="D694" t="s">
        <v>81</v>
      </c>
      <c r="E694" t="s">
        <v>465</v>
      </c>
      <c r="F694" t="s">
        <v>466</v>
      </c>
      <c r="G694" s="1" t="s">
        <v>84</v>
      </c>
      <c r="I694" s="1" t="s">
        <v>85</v>
      </c>
      <c r="J694" s="1" t="s">
        <v>476</v>
      </c>
      <c r="K694" s="1" t="s">
        <v>90</v>
      </c>
      <c r="L694">
        <v>8708299009</v>
      </c>
      <c r="M694" s="2" t="s">
        <v>91</v>
      </c>
      <c r="N694" s="3" t="s">
        <v>92</v>
      </c>
      <c r="O694" s="1">
        <v>1</v>
      </c>
      <c r="P694" s="4">
        <v>20</v>
      </c>
      <c r="Q694" s="4">
        <v>1.6</v>
      </c>
      <c r="R694" s="4">
        <v>0.05</v>
      </c>
      <c r="S694" s="4">
        <v>21.65</v>
      </c>
      <c r="T694" s="5">
        <v>0.633</v>
      </c>
      <c r="U694" s="5">
        <v>0.633</v>
      </c>
      <c r="V694" s="5">
        <v>0.91</v>
      </c>
      <c r="W694" s="5">
        <v>0.91</v>
      </c>
      <c r="X694" s="4">
        <v>21.65</v>
      </c>
    </row>
    <row r="695" customHeight="1" spans="2:28">
      <c r="B695" s="6" t="str">
        <f t="shared" si="10"/>
        <v>43115-DT1EJ20250101-A-JIEU8018198-PARTS</v>
      </c>
      <c r="C695" t="s">
        <v>80</v>
      </c>
      <c r="D695" t="s">
        <v>81</v>
      </c>
      <c r="E695" t="s">
        <v>465</v>
      </c>
      <c r="F695" t="s">
        <v>466</v>
      </c>
      <c r="G695" s="1" t="s">
        <v>84</v>
      </c>
      <c r="I695" s="1" t="s">
        <v>85</v>
      </c>
      <c r="J695" s="1" t="s">
        <v>476</v>
      </c>
      <c r="K695" s="1" t="s">
        <v>93</v>
      </c>
      <c r="L695">
        <v>8708299009</v>
      </c>
      <c r="M695" s="2" t="s">
        <v>94</v>
      </c>
      <c r="N695" s="3" t="s">
        <v>95</v>
      </c>
      <c r="O695" s="1">
        <v>1</v>
      </c>
      <c r="P695" s="4">
        <v>19.64</v>
      </c>
      <c r="Q695" s="4">
        <v>1.57</v>
      </c>
      <c r="R695" s="4">
        <v>0.05</v>
      </c>
      <c r="S695" s="4">
        <v>21.26</v>
      </c>
      <c r="T695" s="5">
        <v>0.622</v>
      </c>
      <c r="U695" s="5">
        <v>0.622</v>
      </c>
      <c r="V695" s="5">
        <v>0.9</v>
      </c>
      <c r="W695" s="5">
        <v>0.9</v>
      </c>
      <c r="X695" s="4">
        <v>21.26</v>
      </c>
    </row>
    <row r="696" customHeight="1" spans="2:28">
      <c r="B696" s="6" t="str">
        <f t="shared" si="10"/>
        <v>43115-DT1EJ20250101-A-JIEU8018198-PARTS</v>
      </c>
      <c r="C696" t="s">
        <v>80</v>
      </c>
      <c r="D696" t="s">
        <v>81</v>
      </c>
      <c r="E696" t="s">
        <v>465</v>
      </c>
      <c r="F696" t="s">
        <v>466</v>
      </c>
      <c r="G696" s="1" t="s">
        <v>84</v>
      </c>
      <c r="I696" s="1" t="s">
        <v>85</v>
      </c>
      <c r="J696" s="1" t="s">
        <v>479</v>
      </c>
      <c r="K696" s="1" t="s">
        <v>480</v>
      </c>
      <c r="L696">
        <v>8708299009</v>
      </c>
      <c r="M696" s="2" t="s">
        <v>481</v>
      </c>
      <c r="N696" s="3" t="s">
        <v>482</v>
      </c>
      <c r="O696" s="1">
        <v>60</v>
      </c>
      <c r="P696" s="4">
        <v>75.52</v>
      </c>
      <c r="Q696" s="4">
        <v>363</v>
      </c>
      <c r="R696" s="4">
        <v>10.2</v>
      </c>
      <c r="S696" s="4">
        <v>81.74</v>
      </c>
      <c r="T696" s="5">
        <v>2.378</v>
      </c>
      <c r="U696" s="5">
        <v>142.68</v>
      </c>
      <c r="V696" s="5">
        <v>3.08</v>
      </c>
      <c r="W696" s="5">
        <v>184.8</v>
      </c>
      <c r="X696" s="4">
        <v>4904.4</v>
      </c>
      <c r="Y696">
        <v>2280</v>
      </c>
      <c r="Z696">
        <v>1180</v>
      </c>
      <c r="AA696">
        <v>850</v>
      </c>
      <c r="AB696" s="1">
        <v>2.29</v>
      </c>
    </row>
    <row r="697" customHeight="1" spans="2:28">
      <c r="B697" s="6" t="str">
        <f t="shared" si="10"/>
        <v>43115-DT1EJ20250101-A-JIEU8018198-PARTS</v>
      </c>
      <c r="C697" t="s">
        <v>80</v>
      </c>
      <c r="D697" t="s">
        <v>81</v>
      </c>
      <c r="E697" t="s">
        <v>465</v>
      </c>
      <c r="F697" t="s">
        <v>466</v>
      </c>
      <c r="G697" s="1" t="s">
        <v>84</v>
      </c>
      <c r="I697" s="1" t="s">
        <v>85</v>
      </c>
      <c r="J697" s="1" t="s">
        <v>483</v>
      </c>
      <c r="K697" s="1" t="s">
        <v>480</v>
      </c>
      <c r="L697">
        <v>8708299009</v>
      </c>
      <c r="M697" s="2" t="s">
        <v>481</v>
      </c>
      <c r="N697" s="3" t="s">
        <v>482</v>
      </c>
      <c r="O697" s="1">
        <v>60</v>
      </c>
      <c r="P697" s="4">
        <v>75.52</v>
      </c>
      <c r="Q697" s="4">
        <v>363</v>
      </c>
      <c r="R697" s="4">
        <v>10.2</v>
      </c>
      <c r="S697" s="4">
        <v>81.74</v>
      </c>
      <c r="T697" s="5">
        <v>2.378</v>
      </c>
      <c r="U697" s="5">
        <v>142.68</v>
      </c>
      <c r="V697" s="5">
        <v>3.1</v>
      </c>
      <c r="W697" s="5">
        <v>186</v>
      </c>
      <c r="X697" s="4">
        <v>4904.4</v>
      </c>
      <c r="Y697">
        <v>2280</v>
      </c>
      <c r="Z697">
        <v>1180</v>
      </c>
      <c r="AA697">
        <v>850</v>
      </c>
      <c r="AB697" s="1">
        <v>2.29</v>
      </c>
    </row>
    <row r="698" customHeight="1" spans="2:28">
      <c r="B698" s="6" t="str">
        <f t="shared" si="10"/>
        <v>43115-DT1EJ20250101-A-JIEU8018198-PARTS</v>
      </c>
      <c r="C698" t="s">
        <v>80</v>
      </c>
      <c r="D698" t="s">
        <v>81</v>
      </c>
      <c r="E698" t="s">
        <v>465</v>
      </c>
      <c r="F698" t="s">
        <v>466</v>
      </c>
      <c r="G698" s="1" t="s">
        <v>84</v>
      </c>
      <c r="I698" s="1" t="s">
        <v>85</v>
      </c>
      <c r="J698" s="1" t="s">
        <v>484</v>
      </c>
      <c r="K698" s="1" t="s">
        <v>485</v>
      </c>
      <c r="L698">
        <v>8708999709</v>
      </c>
      <c r="M698" s="2" t="s">
        <v>486</v>
      </c>
      <c r="N698" s="3" t="s">
        <v>487</v>
      </c>
      <c r="O698" s="1">
        <v>60</v>
      </c>
      <c r="P698" s="4">
        <v>263.28</v>
      </c>
      <c r="Q698" s="4">
        <v>1266</v>
      </c>
      <c r="R698" s="4">
        <v>36.6</v>
      </c>
      <c r="S698" s="4">
        <v>284.99</v>
      </c>
      <c r="T698" s="5">
        <v>6.952</v>
      </c>
      <c r="U698" s="5">
        <v>417.12</v>
      </c>
      <c r="V698" s="5">
        <v>8.17</v>
      </c>
      <c r="W698" s="5">
        <v>490.2</v>
      </c>
      <c r="X698" s="4">
        <v>17099.4</v>
      </c>
      <c r="Y698">
        <v>1260</v>
      </c>
      <c r="Z698">
        <v>730</v>
      </c>
      <c r="AA698">
        <v>870</v>
      </c>
      <c r="AB698" s="1">
        <v>0.8</v>
      </c>
    </row>
    <row r="699" customHeight="1" spans="2:28">
      <c r="B699" s="6" t="str">
        <f t="shared" si="10"/>
        <v>43115-DT1EJ20250101-A-JIEU8018198-PARTS</v>
      </c>
      <c r="C699" t="s">
        <v>80</v>
      </c>
      <c r="D699" t="s">
        <v>81</v>
      </c>
      <c r="E699" t="s">
        <v>465</v>
      </c>
      <c r="F699" t="s">
        <v>466</v>
      </c>
      <c r="G699" s="1" t="s">
        <v>84</v>
      </c>
      <c r="I699" s="1" t="s">
        <v>85</v>
      </c>
      <c r="J699" s="1" t="s">
        <v>488</v>
      </c>
      <c r="K699" s="1" t="s">
        <v>485</v>
      </c>
      <c r="L699">
        <v>8708999709</v>
      </c>
      <c r="M699" s="2" t="s">
        <v>486</v>
      </c>
      <c r="N699" s="3" t="s">
        <v>487</v>
      </c>
      <c r="O699" s="1">
        <v>60</v>
      </c>
      <c r="P699" s="4">
        <v>263.28</v>
      </c>
      <c r="Q699" s="4">
        <v>1266</v>
      </c>
      <c r="R699" s="4">
        <v>36.6</v>
      </c>
      <c r="S699" s="4">
        <v>284.99</v>
      </c>
      <c r="T699" s="5">
        <v>6.952</v>
      </c>
      <c r="U699" s="5">
        <v>417.12</v>
      </c>
      <c r="V699" s="5">
        <v>8.13</v>
      </c>
      <c r="W699" s="5">
        <v>487.8</v>
      </c>
      <c r="X699" s="4">
        <v>17099.4</v>
      </c>
      <c r="Y699">
        <v>1260</v>
      </c>
      <c r="Z699">
        <v>730</v>
      </c>
      <c r="AA699">
        <v>870</v>
      </c>
      <c r="AB699" s="1">
        <v>0.8</v>
      </c>
    </row>
    <row r="700" customHeight="1" spans="2:28">
      <c r="B700" s="6" t="str">
        <f t="shared" si="10"/>
        <v>43115-DT1EJ20250101-A-JIEU8018198-PARTS</v>
      </c>
      <c r="C700" t="s">
        <v>80</v>
      </c>
      <c r="D700" t="s">
        <v>81</v>
      </c>
      <c r="E700" t="s">
        <v>465</v>
      </c>
      <c r="F700" t="s">
        <v>466</v>
      </c>
      <c r="G700" s="1" t="s">
        <v>84</v>
      </c>
      <c r="I700" s="1" t="s">
        <v>85</v>
      </c>
      <c r="J700" s="1" t="s">
        <v>489</v>
      </c>
      <c r="K700" s="1" t="s">
        <v>490</v>
      </c>
      <c r="L700">
        <v>8708999709</v>
      </c>
      <c r="M700" s="2" t="s">
        <v>491</v>
      </c>
      <c r="N700" s="3" t="s">
        <v>492</v>
      </c>
      <c r="O700" s="1">
        <v>60</v>
      </c>
      <c r="P700" s="4">
        <v>418.64</v>
      </c>
      <c r="Q700" s="4">
        <v>2013.6</v>
      </c>
      <c r="R700" s="4">
        <v>58.2</v>
      </c>
      <c r="S700" s="4">
        <v>453.17</v>
      </c>
      <c r="T700" s="5">
        <v>12.72</v>
      </c>
      <c r="U700" s="5">
        <v>763.2</v>
      </c>
      <c r="V700" s="5">
        <v>14.67</v>
      </c>
      <c r="W700" s="5">
        <v>880.2</v>
      </c>
      <c r="X700" s="4">
        <v>27190.2</v>
      </c>
      <c r="Y700">
        <v>1510</v>
      </c>
      <c r="Z700">
        <v>1130</v>
      </c>
      <c r="AA700">
        <v>870</v>
      </c>
      <c r="AB700" s="1">
        <v>1.48</v>
      </c>
    </row>
    <row r="701" customHeight="1" spans="2:28">
      <c r="B701" s="6" t="str">
        <f t="shared" si="10"/>
        <v>43115-DT1EJ20250101-A-JIEU8018198-PARTS</v>
      </c>
      <c r="C701" t="s">
        <v>80</v>
      </c>
      <c r="D701" t="s">
        <v>81</v>
      </c>
      <c r="E701" t="s">
        <v>465</v>
      </c>
      <c r="F701" t="s">
        <v>466</v>
      </c>
      <c r="G701" s="1" t="s">
        <v>84</v>
      </c>
      <c r="I701" s="1" t="s">
        <v>85</v>
      </c>
      <c r="J701" s="1" t="s">
        <v>493</v>
      </c>
      <c r="K701" s="1" t="s">
        <v>490</v>
      </c>
      <c r="L701">
        <v>8708999709</v>
      </c>
      <c r="M701" s="2" t="s">
        <v>491</v>
      </c>
      <c r="N701" s="3" t="s">
        <v>492</v>
      </c>
      <c r="O701" s="1">
        <v>60</v>
      </c>
      <c r="P701" s="4">
        <v>418.64</v>
      </c>
      <c r="Q701" s="4">
        <v>2013.6</v>
      </c>
      <c r="R701" s="4">
        <v>58.2</v>
      </c>
      <c r="S701" s="4">
        <v>453.17</v>
      </c>
      <c r="T701" s="5">
        <v>12.72</v>
      </c>
      <c r="U701" s="5">
        <v>763.2</v>
      </c>
      <c r="V701" s="5">
        <v>14.67</v>
      </c>
      <c r="W701" s="5">
        <v>880.2</v>
      </c>
      <c r="X701" s="4">
        <v>27190.2</v>
      </c>
      <c r="Y701">
        <v>1510</v>
      </c>
      <c r="Z701">
        <v>1130</v>
      </c>
      <c r="AA701">
        <v>870</v>
      </c>
      <c r="AB701" s="1">
        <v>1.48</v>
      </c>
    </row>
    <row r="702" customHeight="1" spans="2:28">
      <c r="B702" s="6" t="str">
        <f t="shared" si="10"/>
        <v>43115-DT1EJ20250101-A-JIEU8018198-PARTS</v>
      </c>
      <c r="C702" t="s">
        <v>80</v>
      </c>
      <c r="D702" t="s">
        <v>81</v>
      </c>
      <c r="E702" t="s">
        <v>465</v>
      </c>
      <c r="F702" t="s">
        <v>466</v>
      </c>
      <c r="G702" s="1" t="s">
        <v>84</v>
      </c>
      <c r="I702" s="1" t="s">
        <v>85</v>
      </c>
      <c r="J702" s="1" t="s">
        <v>494</v>
      </c>
      <c r="K702" s="1" t="s">
        <v>495</v>
      </c>
      <c r="L702">
        <v>7320208108</v>
      </c>
      <c r="M702" s="2" t="s">
        <v>496</v>
      </c>
      <c r="N702" s="3" t="s">
        <v>497</v>
      </c>
      <c r="O702" s="1">
        <v>120</v>
      </c>
      <c r="P702" s="4">
        <v>34.12</v>
      </c>
      <c r="Q702" s="4">
        <v>327.6</v>
      </c>
      <c r="R702" s="4">
        <v>9.6</v>
      </c>
      <c r="S702" s="4">
        <v>36.93</v>
      </c>
      <c r="T702" s="5">
        <v>1.94</v>
      </c>
      <c r="U702" s="5">
        <v>232.8</v>
      </c>
      <c r="V702" s="5">
        <v>2.17</v>
      </c>
      <c r="W702" s="5">
        <v>260.4</v>
      </c>
      <c r="X702" s="4">
        <v>4431.6</v>
      </c>
      <c r="Y702">
        <v>1200</v>
      </c>
      <c r="Z702">
        <v>1100</v>
      </c>
      <c r="AA702">
        <v>580</v>
      </c>
      <c r="AB702" s="1">
        <v>0.77</v>
      </c>
    </row>
    <row r="703" customHeight="1" spans="2:28">
      <c r="B703" s="6" t="str">
        <f t="shared" si="10"/>
        <v>43115-DT1EJ20250101-A-JIEU8018198-PARTS</v>
      </c>
      <c r="C703" t="s">
        <v>80</v>
      </c>
      <c r="D703" t="s">
        <v>81</v>
      </c>
      <c r="E703" t="s">
        <v>465</v>
      </c>
      <c r="F703" t="s">
        <v>466</v>
      </c>
      <c r="G703" s="1" t="s">
        <v>84</v>
      </c>
      <c r="I703" s="1" t="s">
        <v>85</v>
      </c>
      <c r="J703" s="1" t="s">
        <v>498</v>
      </c>
      <c r="K703" s="1" t="s">
        <v>495</v>
      </c>
      <c r="L703">
        <v>7320208108</v>
      </c>
      <c r="M703" s="2" t="s">
        <v>496</v>
      </c>
      <c r="N703" s="3" t="s">
        <v>497</v>
      </c>
      <c r="O703" s="1">
        <v>120</v>
      </c>
      <c r="P703" s="4">
        <v>34.12</v>
      </c>
      <c r="Q703" s="4">
        <v>327.6</v>
      </c>
      <c r="R703" s="4">
        <v>9.6</v>
      </c>
      <c r="S703" s="4">
        <v>36.93</v>
      </c>
      <c r="T703" s="5">
        <v>1.94</v>
      </c>
      <c r="U703" s="5">
        <v>232.8</v>
      </c>
      <c r="V703" s="5">
        <v>2.17</v>
      </c>
      <c r="W703" s="5">
        <v>260.4</v>
      </c>
      <c r="X703" s="4">
        <v>4431.6</v>
      </c>
      <c r="Y703">
        <v>1200</v>
      </c>
      <c r="Z703">
        <v>1100</v>
      </c>
      <c r="AA703">
        <v>580</v>
      </c>
      <c r="AB703" s="1">
        <v>0.77</v>
      </c>
    </row>
    <row r="704" customHeight="1" spans="2:28">
      <c r="B704" s="6" t="str">
        <f t="shared" si="10"/>
        <v>43115-DT1EJ20250101-A-JIEU8018198-PARTS</v>
      </c>
      <c r="C704" t="s">
        <v>80</v>
      </c>
      <c r="D704" t="s">
        <v>81</v>
      </c>
      <c r="E704" t="s">
        <v>465</v>
      </c>
      <c r="F704" t="s">
        <v>466</v>
      </c>
      <c r="G704" s="1" t="s">
        <v>84</v>
      </c>
      <c r="I704" s="1" t="s">
        <v>85</v>
      </c>
      <c r="J704" s="1" t="s">
        <v>499</v>
      </c>
      <c r="K704" s="1" t="s">
        <v>500</v>
      </c>
      <c r="L704">
        <v>8708943509</v>
      </c>
      <c r="M704" s="2" t="s">
        <v>501</v>
      </c>
      <c r="N704" s="3" t="s">
        <v>502</v>
      </c>
      <c r="O704" s="1">
        <v>120</v>
      </c>
      <c r="P704" s="4">
        <v>509.1</v>
      </c>
      <c r="Q704" s="4">
        <v>4897.2</v>
      </c>
      <c r="R704" s="4">
        <v>140.4</v>
      </c>
      <c r="S704" s="4">
        <v>551.08</v>
      </c>
      <c r="T704" s="5">
        <v>1.541</v>
      </c>
      <c r="U704" s="5">
        <v>184.92</v>
      </c>
      <c r="V704" s="5">
        <v>1.7</v>
      </c>
      <c r="W704" s="5">
        <v>204</v>
      </c>
      <c r="X704" s="4">
        <v>66129.6</v>
      </c>
      <c r="Y704">
        <v>1140</v>
      </c>
      <c r="Z704">
        <v>1250</v>
      </c>
      <c r="AA704">
        <v>1900</v>
      </c>
      <c r="AB704" s="1">
        <v>2.71</v>
      </c>
    </row>
    <row r="705" customHeight="1" spans="2:28">
      <c r="B705" s="6" t="str">
        <f t="shared" si="10"/>
        <v>43115-DT1EJ20250101-A-JIEU8018198-PARTS</v>
      </c>
      <c r="C705" t="s">
        <v>80</v>
      </c>
      <c r="D705" t="s">
        <v>81</v>
      </c>
      <c r="E705" t="s">
        <v>465</v>
      </c>
      <c r="F705" t="s">
        <v>466</v>
      </c>
      <c r="G705" s="1" t="s">
        <v>84</v>
      </c>
      <c r="I705" s="1" t="s">
        <v>85</v>
      </c>
      <c r="J705" s="1" t="s">
        <v>503</v>
      </c>
      <c r="K705" s="1" t="s">
        <v>504</v>
      </c>
      <c r="L705">
        <v>8708959909</v>
      </c>
      <c r="M705" s="2" t="s">
        <v>505</v>
      </c>
      <c r="N705" s="3" t="s">
        <v>506</v>
      </c>
      <c r="O705" s="1">
        <v>60</v>
      </c>
      <c r="P705" s="4">
        <v>217.42</v>
      </c>
      <c r="Q705" s="4">
        <v>1045.8</v>
      </c>
      <c r="R705" s="4">
        <v>30</v>
      </c>
      <c r="S705" s="4">
        <v>235.35</v>
      </c>
      <c r="T705" s="5">
        <v>1.007</v>
      </c>
      <c r="U705" s="5">
        <v>60.42</v>
      </c>
      <c r="V705" s="5">
        <v>1.42</v>
      </c>
      <c r="W705" s="5">
        <v>85.2</v>
      </c>
      <c r="X705" s="4">
        <v>14121</v>
      </c>
      <c r="Y705">
        <v>1200</v>
      </c>
      <c r="Z705">
        <v>1000</v>
      </c>
      <c r="AA705">
        <v>700</v>
      </c>
      <c r="AB705" s="1">
        <v>0.84</v>
      </c>
    </row>
    <row r="706" customHeight="1" spans="2:28">
      <c r="B706" s="6" t="str">
        <f t="shared" ref="B706:B769" si="11">CONCATENATE(C706,"-",E706,"-",G706)</f>
        <v>43115-DT1EJ20250101-A-JIEU8018198-PARTS</v>
      </c>
      <c r="C706" t="s">
        <v>80</v>
      </c>
      <c r="D706" t="s">
        <v>81</v>
      </c>
      <c r="E706" t="s">
        <v>465</v>
      </c>
      <c r="F706" t="s">
        <v>466</v>
      </c>
      <c r="G706" s="1" t="s">
        <v>84</v>
      </c>
      <c r="I706" s="1" t="s">
        <v>85</v>
      </c>
      <c r="J706" s="1" t="s">
        <v>507</v>
      </c>
      <c r="K706" s="1" t="s">
        <v>504</v>
      </c>
      <c r="L706">
        <v>8708959909</v>
      </c>
      <c r="M706" s="2" t="s">
        <v>505</v>
      </c>
      <c r="N706" s="3" t="s">
        <v>506</v>
      </c>
      <c r="O706" s="1">
        <v>60</v>
      </c>
      <c r="P706" s="4">
        <v>217.42</v>
      </c>
      <c r="Q706" s="4">
        <v>1045.8</v>
      </c>
      <c r="R706" s="4">
        <v>30</v>
      </c>
      <c r="S706" s="4">
        <v>235.35</v>
      </c>
      <c r="T706" s="5">
        <v>1.007</v>
      </c>
      <c r="U706" s="5">
        <v>60.42</v>
      </c>
      <c r="V706" s="5">
        <v>1.42</v>
      </c>
      <c r="W706" s="5">
        <v>85.2</v>
      </c>
      <c r="X706" s="4">
        <v>14121</v>
      </c>
      <c r="Y706">
        <v>1200</v>
      </c>
      <c r="Z706">
        <v>1000</v>
      </c>
      <c r="AA706">
        <v>700</v>
      </c>
      <c r="AB706" s="1">
        <v>0.84</v>
      </c>
    </row>
    <row r="707" customHeight="1" spans="2:28">
      <c r="B707" s="6" t="str">
        <f t="shared" si="11"/>
        <v>43115-DT1EJ20250101-A-JIEU8018198-PARTS</v>
      </c>
      <c r="C707" t="s">
        <v>80</v>
      </c>
      <c r="D707" t="s">
        <v>81</v>
      </c>
      <c r="E707" t="s">
        <v>465</v>
      </c>
      <c r="F707" t="s">
        <v>466</v>
      </c>
      <c r="G707" s="1" t="s">
        <v>84</v>
      </c>
      <c r="I707" s="1" t="s">
        <v>85</v>
      </c>
      <c r="J707" s="1" t="s">
        <v>508</v>
      </c>
      <c r="K707" s="1" t="s">
        <v>509</v>
      </c>
      <c r="L707">
        <v>8507102003</v>
      </c>
      <c r="M707" s="2" t="s">
        <v>510</v>
      </c>
      <c r="N707" s="3" t="s">
        <v>511</v>
      </c>
      <c r="O707" s="1">
        <v>60</v>
      </c>
      <c r="P707" s="4">
        <v>404.69</v>
      </c>
      <c r="Q707" s="4">
        <v>1946.4</v>
      </c>
      <c r="R707" s="4">
        <v>55.8</v>
      </c>
      <c r="S707" s="4">
        <v>438.06</v>
      </c>
      <c r="T707" s="5">
        <v>20.504</v>
      </c>
      <c r="U707" s="5">
        <v>1230.24</v>
      </c>
      <c r="V707" s="5">
        <v>20.77</v>
      </c>
      <c r="W707" s="5">
        <v>1246.2</v>
      </c>
      <c r="X707" s="4">
        <v>26283.6</v>
      </c>
      <c r="Y707">
        <v>1140</v>
      </c>
      <c r="Z707">
        <v>1480</v>
      </c>
      <c r="AA707">
        <v>500</v>
      </c>
      <c r="AB707" s="1">
        <v>0.84</v>
      </c>
    </row>
    <row r="708" customHeight="1" spans="2:28">
      <c r="B708" s="6" t="str">
        <f t="shared" si="11"/>
        <v>43115-DT1EJ20250101-A-JIEU8018198-PARTS</v>
      </c>
      <c r="C708" t="s">
        <v>80</v>
      </c>
      <c r="D708" t="s">
        <v>81</v>
      </c>
      <c r="E708" t="s">
        <v>465</v>
      </c>
      <c r="F708" t="s">
        <v>466</v>
      </c>
      <c r="G708" s="1" t="s">
        <v>84</v>
      </c>
      <c r="I708" s="1" t="s">
        <v>85</v>
      </c>
      <c r="J708" s="1" t="s">
        <v>512</v>
      </c>
      <c r="K708" s="1" t="s">
        <v>509</v>
      </c>
      <c r="L708">
        <v>8507102003</v>
      </c>
      <c r="M708" s="2" t="s">
        <v>510</v>
      </c>
      <c r="N708" s="3" t="s">
        <v>511</v>
      </c>
      <c r="O708" s="1">
        <v>60</v>
      </c>
      <c r="P708" s="4">
        <v>404.69</v>
      </c>
      <c r="Q708" s="4">
        <v>1946.4</v>
      </c>
      <c r="R708" s="4">
        <v>55.8</v>
      </c>
      <c r="S708" s="4">
        <v>438.06</v>
      </c>
      <c r="T708" s="5">
        <v>20.504</v>
      </c>
      <c r="U708" s="5">
        <v>1230.24</v>
      </c>
      <c r="V708" s="5">
        <v>20.72</v>
      </c>
      <c r="W708" s="5">
        <v>1243.2</v>
      </c>
      <c r="X708" s="4">
        <v>26283.6</v>
      </c>
      <c r="Y708">
        <v>1140</v>
      </c>
      <c r="Z708">
        <v>1480</v>
      </c>
      <c r="AA708">
        <v>500</v>
      </c>
      <c r="AB708" s="1">
        <v>0.84</v>
      </c>
    </row>
    <row r="709" customHeight="1" spans="2:28">
      <c r="B709" s="6" t="str">
        <f t="shared" si="11"/>
        <v>43115-DT1EJ20250101-A-JIEU8018198-PARTS</v>
      </c>
      <c r="C709" t="s">
        <v>80</v>
      </c>
      <c r="D709" t="s">
        <v>81</v>
      </c>
      <c r="E709" t="s">
        <v>465</v>
      </c>
      <c r="F709" t="s">
        <v>466</v>
      </c>
      <c r="G709" s="1" t="s">
        <v>84</v>
      </c>
      <c r="I709" s="1" t="s">
        <v>85</v>
      </c>
      <c r="J709" s="1" t="s">
        <v>513</v>
      </c>
      <c r="K709" s="1" t="s">
        <v>514</v>
      </c>
      <c r="L709">
        <v>8511400008</v>
      </c>
      <c r="M709" s="2" t="s">
        <v>515</v>
      </c>
      <c r="N709" s="3" t="s">
        <v>516</v>
      </c>
      <c r="O709" s="1">
        <v>120</v>
      </c>
      <c r="P709" s="4">
        <v>218.89</v>
      </c>
      <c r="Q709" s="4">
        <v>2106</v>
      </c>
      <c r="R709" s="4">
        <v>60</v>
      </c>
      <c r="S709" s="4">
        <v>236.94</v>
      </c>
      <c r="T709" s="5">
        <v>2.912</v>
      </c>
      <c r="U709" s="5">
        <v>349.44</v>
      </c>
      <c r="V709" s="5">
        <v>3.55</v>
      </c>
      <c r="W709" s="5">
        <v>426</v>
      </c>
      <c r="X709" s="4">
        <v>28432.8</v>
      </c>
      <c r="Y709">
        <v>1140</v>
      </c>
      <c r="Z709">
        <v>1180</v>
      </c>
      <c r="AA709">
        <v>550</v>
      </c>
      <c r="AB709" s="1">
        <v>0.74</v>
      </c>
    </row>
    <row r="710" customHeight="1" spans="2:28">
      <c r="B710" s="6" t="str">
        <f t="shared" si="11"/>
        <v>43115-DT1EJ20250101-A-JIEU8018198-PARTS</v>
      </c>
      <c r="C710" t="s">
        <v>80</v>
      </c>
      <c r="D710" t="s">
        <v>81</v>
      </c>
      <c r="E710" t="s">
        <v>465</v>
      </c>
      <c r="F710" t="s">
        <v>466</v>
      </c>
      <c r="G710" s="1" t="s">
        <v>84</v>
      </c>
      <c r="I710" s="1" t="s">
        <v>85</v>
      </c>
      <c r="J710" s="1" t="s">
        <v>517</v>
      </c>
      <c r="K710" s="1" t="s">
        <v>518</v>
      </c>
      <c r="L710">
        <v>8708299009</v>
      </c>
      <c r="M710" s="2" t="s">
        <v>519</v>
      </c>
      <c r="N710" s="3" t="s">
        <v>520</v>
      </c>
      <c r="O710" s="1">
        <v>120</v>
      </c>
      <c r="P710" s="4">
        <v>50.55</v>
      </c>
      <c r="Q710" s="4">
        <v>486</v>
      </c>
      <c r="R710" s="4">
        <v>14.4</v>
      </c>
      <c r="S710" s="4">
        <v>54.72</v>
      </c>
      <c r="T710" s="5">
        <v>1.059</v>
      </c>
      <c r="U710" s="5">
        <v>127.08</v>
      </c>
      <c r="V710" s="5">
        <v>1.38</v>
      </c>
      <c r="W710" s="5">
        <v>165.6</v>
      </c>
      <c r="X710" s="4">
        <v>6566.4</v>
      </c>
      <c r="Y710">
        <v>2280</v>
      </c>
      <c r="Z710">
        <v>1250</v>
      </c>
      <c r="AA710">
        <v>850</v>
      </c>
      <c r="AB710" s="1">
        <v>2.42</v>
      </c>
    </row>
    <row r="711" customHeight="1" spans="2:28">
      <c r="B711" s="6" t="str">
        <f t="shared" si="11"/>
        <v>43115-DT1EJ20250101-A-JIEU8018198-PARTS</v>
      </c>
      <c r="C711" t="s">
        <v>80</v>
      </c>
      <c r="D711" t="s">
        <v>81</v>
      </c>
      <c r="E711" t="s">
        <v>465</v>
      </c>
      <c r="F711" t="s">
        <v>466</v>
      </c>
      <c r="G711" s="1" t="s">
        <v>84</v>
      </c>
      <c r="I711" s="1" t="s">
        <v>85</v>
      </c>
      <c r="J711" s="1" t="s">
        <v>521</v>
      </c>
      <c r="K711" s="1" t="s">
        <v>369</v>
      </c>
      <c r="L711">
        <v>8708999709</v>
      </c>
      <c r="M711" s="2" t="s">
        <v>370</v>
      </c>
      <c r="N711" s="3" t="s">
        <v>334</v>
      </c>
      <c r="O711" s="1">
        <v>60</v>
      </c>
      <c r="P711" s="4">
        <v>211.21</v>
      </c>
      <c r="Q711" s="4">
        <v>1015.8</v>
      </c>
      <c r="R711" s="4">
        <v>29.4</v>
      </c>
      <c r="S711" s="4">
        <v>228.63</v>
      </c>
      <c r="T711" s="5">
        <v>0.337</v>
      </c>
      <c r="U711" s="5">
        <v>20.22</v>
      </c>
      <c r="V711" s="5">
        <v>0.66</v>
      </c>
      <c r="W711" s="5">
        <v>39.6</v>
      </c>
      <c r="X711" s="4">
        <v>13717.8</v>
      </c>
      <c r="Y711">
        <v>2280</v>
      </c>
      <c r="Z711">
        <v>1480</v>
      </c>
      <c r="AA711">
        <v>850</v>
      </c>
      <c r="AB711" s="1">
        <v>2.87</v>
      </c>
    </row>
    <row r="712" customHeight="1" spans="2:28">
      <c r="B712" s="6" t="str">
        <f t="shared" si="11"/>
        <v>43115-DT1EJ20250101-A-JIEU8018198-PARTS</v>
      </c>
      <c r="C712" t="s">
        <v>80</v>
      </c>
      <c r="D712" t="s">
        <v>81</v>
      </c>
      <c r="E712" t="s">
        <v>465</v>
      </c>
      <c r="F712" t="s">
        <v>466</v>
      </c>
      <c r="G712" s="1" t="s">
        <v>84</v>
      </c>
      <c r="I712" s="1" t="s">
        <v>85</v>
      </c>
      <c r="J712" s="1" t="s">
        <v>521</v>
      </c>
      <c r="K712" s="1" t="s">
        <v>371</v>
      </c>
      <c r="L712">
        <v>8708309109</v>
      </c>
      <c r="M712" s="2" t="s">
        <v>372</v>
      </c>
      <c r="N712" s="3" t="s">
        <v>373</v>
      </c>
      <c r="O712" s="1">
        <v>60</v>
      </c>
      <c r="P712" s="4">
        <v>39.23</v>
      </c>
      <c r="Q712" s="4">
        <v>188.4</v>
      </c>
      <c r="R712" s="4">
        <v>5.4</v>
      </c>
      <c r="S712" s="4">
        <v>42.46</v>
      </c>
      <c r="T712" s="5">
        <v>0.517</v>
      </c>
      <c r="U712" s="5">
        <v>31.02</v>
      </c>
      <c r="V712" s="5">
        <v>1.02</v>
      </c>
      <c r="W712" s="5">
        <v>61.2</v>
      </c>
      <c r="X712" s="4">
        <v>2547.6</v>
      </c>
    </row>
    <row r="713" customHeight="1" spans="2:28">
      <c r="B713" s="6" t="str">
        <f t="shared" si="11"/>
        <v>43115-DT1EJ20250101-A-JIEU8018198-PARTS</v>
      </c>
      <c r="C713" t="s">
        <v>80</v>
      </c>
      <c r="D713" t="s">
        <v>81</v>
      </c>
      <c r="E713" t="s">
        <v>465</v>
      </c>
      <c r="F713" t="s">
        <v>466</v>
      </c>
      <c r="G713" s="1" t="s">
        <v>84</v>
      </c>
      <c r="I713" s="1" t="s">
        <v>85</v>
      </c>
      <c r="J713" s="1" t="s">
        <v>522</v>
      </c>
      <c r="K713" s="1" t="s">
        <v>523</v>
      </c>
      <c r="L713">
        <v>7318158900</v>
      </c>
      <c r="M713" s="2" t="s">
        <v>524</v>
      </c>
      <c r="N713" s="3" t="s">
        <v>525</v>
      </c>
      <c r="O713" s="1">
        <v>60</v>
      </c>
      <c r="P713" s="4">
        <v>1.18</v>
      </c>
      <c r="Q713" s="4">
        <v>5.4</v>
      </c>
      <c r="R713" s="4">
        <v>0.6</v>
      </c>
      <c r="S713" s="4">
        <v>1.28</v>
      </c>
      <c r="T713" s="5">
        <v>0.01</v>
      </c>
      <c r="U713" s="5">
        <v>0.6</v>
      </c>
      <c r="V713" s="5">
        <v>0.011</v>
      </c>
      <c r="W713" s="5">
        <v>0.66</v>
      </c>
      <c r="X713" s="4">
        <v>76.8</v>
      </c>
      <c r="Y713">
        <v>2280</v>
      </c>
      <c r="Z713">
        <v>1180</v>
      </c>
      <c r="AA713">
        <v>1280</v>
      </c>
      <c r="AB713" s="1">
        <v>3.44</v>
      </c>
    </row>
    <row r="714" customHeight="1" spans="2:28">
      <c r="B714" s="6" t="str">
        <f t="shared" si="11"/>
        <v>43115-DT1EJ20250101-A-JIEU8018198-PARTS</v>
      </c>
      <c r="C714" t="s">
        <v>80</v>
      </c>
      <c r="D714" t="s">
        <v>81</v>
      </c>
      <c r="E714" t="s">
        <v>465</v>
      </c>
      <c r="F714" t="s">
        <v>466</v>
      </c>
      <c r="G714" s="1" t="s">
        <v>84</v>
      </c>
      <c r="I714" s="1" t="s">
        <v>85</v>
      </c>
      <c r="J714" s="1" t="s">
        <v>522</v>
      </c>
      <c r="K714" s="1" t="s">
        <v>523</v>
      </c>
      <c r="L714">
        <v>7318158900</v>
      </c>
      <c r="M714" s="2" t="s">
        <v>524</v>
      </c>
      <c r="N714" s="3" t="s">
        <v>525</v>
      </c>
      <c r="O714" s="1">
        <v>60</v>
      </c>
      <c r="P714" s="4">
        <v>1.18</v>
      </c>
      <c r="Q714" s="4">
        <v>5.4</v>
      </c>
      <c r="R714" s="4">
        <v>0.6</v>
      </c>
      <c r="S714" s="4">
        <v>1.28</v>
      </c>
      <c r="T714" s="5">
        <v>0.01</v>
      </c>
      <c r="U714" s="5">
        <v>0.6</v>
      </c>
      <c r="V714" s="5">
        <v>0.011</v>
      </c>
      <c r="W714" s="5">
        <v>0.66</v>
      </c>
      <c r="X714" s="4">
        <v>76.8</v>
      </c>
    </row>
    <row r="715" customHeight="1" spans="2:28">
      <c r="B715" s="6" t="str">
        <f t="shared" si="11"/>
        <v>43115-DT1EJ20250101-A-JIEU8018198-PARTS</v>
      </c>
      <c r="C715" t="s">
        <v>80</v>
      </c>
      <c r="D715" t="s">
        <v>81</v>
      </c>
      <c r="E715" t="s">
        <v>465</v>
      </c>
      <c r="F715" t="s">
        <v>466</v>
      </c>
      <c r="G715" s="1" t="s">
        <v>84</v>
      </c>
      <c r="I715" s="1" t="s">
        <v>85</v>
      </c>
      <c r="J715" s="1" t="s">
        <v>522</v>
      </c>
      <c r="K715" s="1" t="s">
        <v>526</v>
      </c>
      <c r="L715">
        <v>8708299009</v>
      </c>
      <c r="M715" s="2" t="s">
        <v>301</v>
      </c>
      <c r="N715" s="3" t="s">
        <v>527</v>
      </c>
      <c r="O715" s="1">
        <v>120</v>
      </c>
      <c r="P715" s="4">
        <v>16.76</v>
      </c>
      <c r="Q715" s="4">
        <v>160.8</v>
      </c>
      <c r="R715" s="4">
        <v>4.8</v>
      </c>
      <c r="S715" s="4">
        <v>18.14</v>
      </c>
      <c r="T715" s="5">
        <v>0.07</v>
      </c>
      <c r="U715" s="5">
        <v>8.4</v>
      </c>
      <c r="V715" s="5">
        <v>0.09</v>
      </c>
      <c r="W715" s="5">
        <v>10.8</v>
      </c>
      <c r="X715" s="4">
        <v>2176.8</v>
      </c>
    </row>
    <row r="716" customHeight="1" spans="2:28">
      <c r="B716" s="6" t="str">
        <f t="shared" si="11"/>
        <v>43115-DT1EJ20250101-A-JIEU8018198-PARTS</v>
      </c>
      <c r="C716" t="s">
        <v>80</v>
      </c>
      <c r="D716" t="s">
        <v>81</v>
      </c>
      <c r="E716" t="s">
        <v>465</v>
      </c>
      <c r="F716" t="s">
        <v>466</v>
      </c>
      <c r="G716" s="1" t="s">
        <v>84</v>
      </c>
      <c r="I716" s="1" t="s">
        <v>85</v>
      </c>
      <c r="J716" s="1" t="s">
        <v>522</v>
      </c>
      <c r="K716" s="1" t="s">
        <v>528</v>
      </c>
      <c r="L716">
        <v>8708999709</v>
      </c>
      <c r="M716" s="2" t="s">
        <v>529</v>
      </c>
      <c r="N716" s="3" t="s">
        <v>530</v>
      </c>
      <c r="O716" s="1">
        <v>120</v>
      </c>
      <c r="P716" s="4">
        <v>32.9</v>
      </c>
      <c r="Q716" s="4">
        <v>316.8</v>
      </c>
      <c r="R716" s="4">
        <v>9.6</v>
      </c>
      <c r="S716" s="4">
        <v>35.62</v>
      </c>
      <c r="T716" s="5">
        <v>0.099</v>
      </c>
      <c r="U716" s="5">
        <v>11.88</v>
      </c>
      <c r="V716" s="5">
        <v>0.13</v>
      </c>
      <c r="W716" s="5">
        <v>15.6</v>
      </c>
      <c r="X716" s="4">
        <v>4274.4</v>
      </c>
    </row>
    <row r="717" customHeight="1" spans="2:28">
      <c r="B717" s="6" t="str">
        <f t="shared" si="11"/>
        <v>43115-DT1EJ20250101-A-JIEU8018198-PARTS</v>
      </c>
      <c r="C717" t="s">
        <v>80</v>
      </c>
      <c r="D717" t="s">
        <v>81</v>
      </c>
      <c r="E717" t="s">
        <v>465</v>
      </c>
      <c r="F717" t="s">
        <v>466</v>
      </c>
      <c r="G717" s="1" t="s">
        <v>84</v>
      </c>
      <c r="I717" s="1" t="s">
        <v>85</v>
      </c>
      <c r="J717" s="1" t="s">
        <v>522</v>
      </c>
      <c r="K717" s="1" t="s">
        <v>531</v>
      </c>
      <c r="L717">
        <v>8708999709</v>
      </c>
      <c r="M717" s="2" t="s">
        <v>532</v>
      </c>
      <c r="N717" s="3" t="s">
        <v>533</v>
      </c>
      <c r="O717" s="1">
        <v>120</v>
      </c>
      <c r="P717" s="4">
        <v>34.33</v>
      </c>
      <c r="Q717" s="4">
        <v>330</v>
      </c>
      <c r="R717" s="4">
        <v>9.6</v>
      </c>
      <c r="S717" s="4">
        <v>37.16</v>
      </c>
      <c r="T717" s="5">
        <v>0.075</v>
      </c>
      <c r="U717" s="5">
        <v>9</v>
      </c>
      <c r="V717" s="5">
        <v>0.1</v>
      </c>
      <c r="W717" s="5">
        <v>12</v>
      </c>
      <c r="X717" s="4">
        <v>4459.2</v>
      </c>
    </row>
    <row r="718" customHeight="1" spans="2:28">
      <c r="B718" s="6" t="str">
        <f t="shared" si="11"/>
        <v>43115-DT1EJ20250101-A-JIEU8018198-PARTS</v>
      </c>
      <c r="C718" t="s">
        <v>80</v>
      </c>
      <c r="D718" t="s">
        <v>81</v>
      </c>
      <c r="E718" t="s">
        <v>465</v>
      </c>
      <c r="F718" t="s">
        <v>466</v>
      </c>
      <c r="G718" s="1" t="s">
        <v>84</v>
      </c>
      <c r="I718" s="1" t="s">
        <v>85</v>
      </c>
      <c r="J718" s="1" t="s">
        <v>522</v>
      </c>
      <c r="K718" s="1" t="s">
        <v>534</v>
      </c>
      <c r="L718">
        <v>8708999709</v>
      </c>
      <c r="M718" s="2" t="s">
        <v>535</v>
      </c>
      <c r="N718" s="3" t="s">
        <v>334</v>
      </c>
      <c r="O718" s="1">
        <v>120</v>
      </c>
      <c r="P718" s="4">
        <v>22.17</v>
      </c>
      <c r="Q718" s="4">
        <v>213.6</v>
      </c>
      <c r="R718" s="4">
        <v>6</v>
      </c>
      <c r="S718" s="4">
        <v>24</v>
      </c>
      <c r="T718" s="5">
        <v>0.058</v>
      </c>
      <c r="U718" s="5">
        <v>6.96</v>
      </c>
      <c r="V718" s="5">
        <v>0.07</v>
      </c>
      <c r="W718" s="5">
        <v>8.4</v>
      </c>
      <c r="X718" s="4">
        <v>2880</v>
      </c>
    </row>
    <row r="719" customHeight="1" spans="2:28">
      <c r="B719" s="6" t="str">
        <f t="shared" si="11"/>
        <v>43115-DT1EJ20250101-A-JIEU8018198-PARTS</v>
      </c>
      <c r="C719" t="s">
        <v>80</v>
      </c>
      <c r="D719" t="s">
        <v>81</v>
      </c>
      <c r="E719" t="s">
        <v>465</v>
      </c>
      <c r="F719" t="s">
        <v>466</v>
      </c>
      <c r="G719" s="1" t="s">
        <v>84</v>
      </c>
      <c r="I719" s="1" t="s">
        <v>85</v>
      </c>
      <c r="J719" s="1" t="s">
        <v>522</v>
      </c>
      <c r="K719" s="1" t="s">
        <v>536</v>
      </c>
      <c r="L719">
        <v>3926300000</v>
      </c>
      <c r="M719" s="2" t="s">
        <v>537</v>
      </c>
      <c r="N719" s="3" t="s">
        <v>538</v>
      </c>
      <c r="O719" s="1">
        <v>120</v>
      </c>
      <c r="P719" s="4">
        <v>1.31</v>
      </c>
      <c r="Q719" s="4">
        <v>13.2</v>
      </c>
      <c r="R719" s="4">
        <v>1.2</v>
      </c>
      <c r="S719" s="4">
        <v>1.43</v>
      </c>
      <c r="T719" s="5">
        <v>0.004</v>
      </c>
      <c r="U719" s="5">
        <v>0.48</v>
      </c>
      <c r="V719" s="5">
        <v>0.01</v>
      </c>
      <c r="W719" s="5">
        <v>1.2</v>
      </c>
      <c r="X719" s="4">
        <v>171.6</v>
      </c>
    </row>
    <row r="720" customHeight="1" spans="2:28">
      <c r="B720" s="6" t="str">
        <f t="shared" si="11"/>
        <v>43115-DT1EJ20250101-A-JIEU8018198-PARTS</v>
      </c>
      <c r="C720" t="s">
        <v>80</v>
      </c>
      <c r="D720" t="s">
        <v>81</v>
      </c>
      <c r="E720" t="s">
        <v>465</v>
      </c>
      <c r="F720" t="s">
        <v>466</v>
      </c>
      <c r="G720" s="1" t="s">
        <v>84</v>
      </c>
      <c r="I720" s="1" t="s">
        <v>85</v>
      </c>
      <c r="J720" s="1" t="s">
        <v>522</v>
      </c>
      <c r="K720" s="1" t="s">
        <v>539</v>
      </c>
      <c r="L720">
        <v>4009310000</v>
      </c>
      <c r="M720" s="2" t="s">
        <v>540</v>
      </c>
      <c r="N720" s="3" t="s">
        <v>541</v>
      </c>
      <c r="O720" s="1">
        <v>60</v>
      </c>
      <c r="P720" s="4">
        <v>38.22</v>
      </c>
      <c r="Q720" s="4">
        <v>183.6</v>
      </c>
      <c r="R720" s="4">
        <v>5.4</v>
      </c>
      <c r="S720" s="4">
        <v>41.37</v>
      </c>
      <c r="T720" s="5">
        <v>0.21</v>
      </c>
      <c r="U720" s="5">
        <v>12.6</v>
      </c>
      <c r="V720" s="5">
        <v>0.27</v>
      </c>
      <c r="W720" s="5">
        <v>16.2</v>
      </c>
      <c r="X720" s="4">
        <v>2482.2</v>
      </c>
    </row>
    <row r="721" customHeight="1" spans="2:24">
      <c r="B721" s="6" t="str">
        <f t="shared" si="11"/>
        <v>43115-DT1EJ20250101-A-JIEU8018198-PARTS</v>
      </c>
      <c r="C721" t="s">
        <v>80</v>
      </c>
      <c r="D721" t="s">
        <v>81</v>
      </c>
      <c r="E721" t="s">
        <v>465</v>
      </c>
      <c r="F721" t="s">
        <v>466</v>
      </c>
      <c r="G721" s="1" t="s">
        <v>84</v>
      </c>
      <c r="I721" s="1" t="s">
        <v>85</v>
      </c>
      <c r="J721" s="1" t="s">
        <v>522</v>
      </c>
      <c r="K721" s="1" t="s">
        <v>539</v>
      </c>
      <c r="L721">
        <v>4009310000</v>
      </c>
      <c r="M721" s="2" t="s">
        <v>540</v>
      </c>
      <c r="N721" s="3" t="s">
        <v>541</v>
      </c>
      <c r="O721" s="1">
        <v>60</v>
      </c>
      <c r="P721" s="4">
        <v>38.22</v>
      </c>
      <c r="Q721" s="4">
        <v>183.6</v>
      </c>
      <c r="R721" s="4">
        <v>5.4</v>
      </c>
      <c r="S721" s="4">
        <v>41.37</v>
      </c>
      <c r="T721" s="5">
        <v>0.21</v>
      </c>
      <c r="U721" s="5">
        <v>12.6</v>
      </c>
      <c r="V721" s="5">
        <v>0.27</v>
      </c>
      <c r="W721" s="5">
        <v>16.2</v>
      </c>
      <c r="X721" s="4">
        <v>2482.2</v>
      </c>
    </row>
    <row r="722" customHeight="1" spans="2:24">
      <c r="B722" s="6" t="str">
        <f t="shared" si="11"/>
        <v>43115-DT1EJ20250101-A-JIEU8018198-PARTS</v>
      </c>
      <c r="C722" t="s">
        <v>80</v>
      </c>
      <c r="D722" t="s">
        <v>81</v>
      </c>
      <c r="E722" t="s">
        <v>465</v>
      </c>
      <c r="F722" t="s">
        <v>466</v>
      </c>
      <c r="G722" s="1" t="s">
        <v>84</v>
      </c>
      <c r="I722" s="1" t="s">
        <v>85</v>
      </c>
      <c r="J722" s="1" t="s">
        <v>522</v>
      </c>
      <c r="K722" s="1" t="s">
        <v>542</v>
      </c>
      <c r="L722">
        <v>3926909709</v>
      </c>
      <c r="M722" s="2" t="s">
        <v>543</v>
      </c>
      <c r="N722" s="3" t="s">
        <v>544</v>
      </c>
      <c r="O722" s="1">
        <v>60</v>
      </c>
      <c r="P722" s="4">
        <v>2.13</v>
      </c>
      <c r="Q722" s="4">
        <v>10.2</v>
      </c>
      <c r="R722" s="4">
        <v>0.6</v>
      </c>
      <c r="S722" s="4">
        <v>2.31</v>
      </c>
      <c r="T722" s="5">
        <v>0.006</v>
      </c>
      <c r="U722" s="5">
        <v>0.36</v>
      </c>
      <c r="V722" s="5">
        <v>0.01</v>
      </c>
      <c r="W722" s="5">
        <v>0.6</v>
      </c>
      <c r="X722" s="4">
        <v>138.6</v>
      </c>
    </row>
    <row r="723" customHeight="1" spans="2:24">
      <c r="B723" s="6" t="str">
        <f t="shared" si="11"/>
        <v>43115-DT1EJ20250101-A-JIEU8018198-PARTS</v>
      </c>
      <c r="C723" t="s">
        <v>80</v>
      </c>
      <c r="D723" t="s">
        <v>81</v>
      </c>
      <c r="E723" t="s">
        <v>465</v>
      </c>
      <c r="F723" t="s">
        <v>466</v>
      </c>
      <c r="G723" s="1" t="s">
        <v>84</v>
      </c>
      <c r="I723" s="1" t="s">
        <v>85</v>
      </c>
      <c r="J723" s="1" t="s">
        <v>522</v>
      </c>
      <c r="K723" s="1" t="s">
        <v>542</v>
      </c>
      <c r="L723">
        <v>3926909709</v>
      </c>
      <c r="M723" s="2" t="s">
        <v>543</v>
      </c>
      <c r="N723" s="3" t="s">
        <v>544</v>
      </c>
      <c r="O723" s="1">
        <v>60</v>
      </c>
      <c r="P723" s="4">
        <v>2.13</v>
      </c>
      <c r="Q723" s="4">
        <v>10.2</v>
      </c>
      <c r="R723" s="4">
        <v>0.6</v>
      </c>
      <c r="S723" s="4">
        <v>2.31</v>
      </c>
      <c r="T723" s="5">
        <v>0.006</v>
      </c>
      <c r="U723" s="5">
        <v>0.36</v>
      </c>
      <c r="V723" s="5">
        <v>0.01</v>
      </c>
      <c r="W723" s="5">
        <v>0.6</v>
      </c>
      <c r="X723" s="4">
        <v>138.6</v>
      </c>
    </row>
    <row r="724" customHeight="1" spans="2:24">
      <c r="B724" s="6" t="str">
        <f t="shared" si="11"/>
        <v>43115-DT1EJ20250101-A-JIEU8018198-PARTS</v>
      </c>
      <c r="C724" t="s">
        <v>80</v>
      </c>
      <c r="D724" t="s">
        <v>81</v>
      </c>
      <c r="E724" t="s">
        <v>465</v>
      </c>
      <c r="F724" t="s">
        <v>466</v>
      </c>
      <c r="G724" s="1" t="s">
        <v>84</v>
      </c>
      <c r="I724" s="1" t="s">
        <v>85</v>
      </c>
      <c r="J724" s="1" t="s">
        <v>522</v>
      </c>
      <c r="K724" s="1" t="s">
        <v>542</v>
      </c>
      <c r="L724">
        <v>3926909709</v>
      </c>
      <c r="M724" s="2" t="s">
        <v>543</v>
      </c>
      <c r="N724" s="3" t="s">
        <v>544</v>
      </c>
      <c r="O724" s="1">
        <v>60</v>
      </c>
      <c r="P724" s="4">
        <v>2.13</v>
      </c>
      <c r="Q724" s="4">
        <v>10.2</v>
      </c>
      <c r="R724" s="4">
        <v>0.6</v>
      </c>
      <c r="S724" s="4">
        <v>2.31</v>
      </c>
      <c r="T724" s="5">
        <v>0.006</v>
      </c>
      <c r="U724" s="5">
        <v>0.36</v>
      </c>
      <c r="V724" s="5">
        <v>0.01</v>
      </c>
      <c r="W724" s="5">
        <v>0.6</v>
      </c>
      <c r="X724" s="4">
        <v>138.6</v>
      </c>
    </row>
    <row r="725" customHeight="1" spans="2:24">
      <c r="B725" s="6" t="str">
        <f t="shared" si="11"/>
        <v>43115-DT1EJ20250101-A-JIEU8018198-PARTS</v>
      </c>
      <c r="C725" t="s">
        <v>80</v>
      </c>
      <c r="D725" t="s">
        <v>81</v>
      </c>
      <c r="E725" t="s">
        <v>465</v>
      </c>
      <c r="F725" t="s">
        <v>466</v>
      </c>
      <c r="G725" s="1" t="s">
        <v>84</v>
      </c>
      <c r="I725" s="1" t="s">
        <v>85</v>
      </c>
      <c r="J725" s="1" t="s">
        <v>522</v>
      </c>
      <c r="K725" s="1" t="s">
        <v>542</v>
      </c>
      <c r="L725">
        <v>3926909709</v>
      </c>
      <c r="M725" s="2" t="s">
        <v>543</v>
      </c>
      <c r="N725" s="3" t="s">
        <v>544</v>
      </c>
      <c r="O725" s="1">
        <v>60</v>
      </c>
      <c r="P725" s="4">
        <v>2.13</v>
      </c>
      <c r="Q725" s="4">
        <v>10.2</v>
      </c>
      <c r="R725" s="4">
        <v>0.6</v>
      </c>
      <c r="S725" s="4">
        <v>2.31</v>
      </c>
      <c r="T725" s="5">
        <v>0.006</v>
      </c>
      <c r="U725" s="5">
        <v>0.36</v>
      </c>
      <c r="V725" s="5">
        <v>0.01</v>
      </c>
      <c r="W725" s="5">
        <v>0.6</v>
      </c>
      <c r="X725" s="4">
        <v>138.6</v>
      </c>
    </row>
    <row r="726" customHeight="1" spans="2:24">
      <c r="B726" s="6" t="str">
        <f t="shared" si="11"/>
        <v>43115-DT1EJ20250101-A-JIEU8018198-PARTS</v>
      </c>
      <c r="C726" t="s">
        <v>80</v>
      </c>
      <c r="D726" t="s">
        <v>81</v>
      </c>
      <c r="E726" t="s">
        <v>465</v>
      </c>
      <c r="F726" t="s">
        <v>466</v>
      </c>
      <c r="G726" s="1" t="s">
        <v>84</v>
      </c>
      <c r="I726" s="1" t="s">
        <v>85</v>
      </c>
      <c r="J726" s="1" t="s">
        <v>522</v>
      </c>
      <c r="K726" s="1" t="s">
        <v>545</v>
      </c>
      <c r="L726">
        <v>8302300009</v>
      </c>
      <c r="M726" s="2" t="s">
        <v>546</v>
      </c>
      <c r="N726" s="3" t="s">
        <v>547</v>
      </c>
      <c r="O726" s="1">
        <v>60</v>
      </c>
      <c r="P726" s="4">
        <v>4.08</v>
      </c>
      <c r="Q726" s="4">
        <v>19.8</v>
      </c>
      <c r="R726" s="4">
        <v>0.6</v>
      </c>
      <c r="S726" s="4">
        <v>4.42</v>
      </c>
      <c r="T726" s="5">
        <v>0.016</v>
      </c>
      <c r="U726" s="5">
        <v>0.96</v>
      </c>
      <c r="V726" s="5">
        <v>0.02</v>
      </c>
      <c r="W726" s="5">
        <v>1.2</v>
      </c>
      <c r="X726" s="4">
        <v>265.2</v>
      </c>
    </row>
    <row r="727" customHeight="1" spans="2:24">
      <c r="B727" s="6" t="str">
        <f t="shared" si="11"/>
        <v>43115-DT1EJ20250101-A-JIEU8018198-PARTS</v>
      </c>
      <c r="C727" t="s">
        <v>80</v>
      </c>
      <c r="D727" t="s">
        <v>81</v>
      </c>
      <c r="E727" t="s">
        <v>465</v>
      </c>
      <c r="F727" t="s">
        <v>466</v>
      </c>
      <c r="G727" s="1" t="s">
        <v>84</v>
      </c>
      <c r="I727" s="1" t="s">
        <v>85</v>
      </c>
      <c r="J727" s="1" t="s">
        <v>522</v>
      </c>
      <c r="K727" s="1" t="s">
        <v>545</v>
      </c>
      <c r="L727">
        <v>8302300009</v>
      </c>
      <c r="M727" s="2" t="s">
        <v>546</v>
      </c>
      <c r="N727" s="3" t="s">
        <v>547</v>
      </c>
      <c r="O727" s="1">
        <v>60</v>
      </c>
      <c r="P727" s="4">
        <v>4.08</v>
      </c>
      <c r="Q727" s="4">
        <v>19.8</v>
      </c>
      <c r="R727" s="4">
        <v>0.6</v>
      </c>
      <c r="S727" s="4">
        <v>4.42</v>
      </c>
      <c r="T727" s="5">
        <v>0.016</v>
      </c>
      <c r="U727" s="5">
        <v>0.96</v>
      </c>
      <c r="V727" s="5">
        <v>0.02</v>
      </c>
      <c r="W727" s="5">
        <v>1.2</v>
      </c>
      <c r="X727" s="4">
        <v>265.2</v>
      </c>
    </row>
    <row r="728" customHeight="1" spans="2:24">
      <c r="B728" s="6" t="str">
        <f t="shared" si="11"/>
        <v>43115-DT1EJ20250101-A-JIEU8018198-PARTS</v>
      </c>
      <c r="C728" t="s">
        <v>80</v>
      </c>
      <c r="D728" t="s">
        <v>81</v>
      </c>
      <c r="E728" t="s">
        <v>465</v>
      </c>
      <c r="F728" t="s">
        <v>466</v>
      </c>
      <c r="G728" s="1" t="s">
        <v>84</v>
      </c>
      <c r="I728" s="1" t="s">
        <v>85</v>
      </c>
      <c r="J728" s="1" t="s">
        <v>522</v>
      </c>
      <c r="K728" s="1" t="s">
        <v>548</v>
      </c>
      <c r="L728">
        <v>8484100009</v>
      </c>
      <c r="M728" s="2" t="s">
        <v>549</v>
      </c>
      <c r="N728" s="3" t="s">
        <v>550</v>
      </c>
      <c r="O728" s="1">
        <v>120</v>
      </c>
      <c r="P728" s="4">
        <v>8.16</v>
      </c>
      <c r="Q728" s="4">
        <v>78</v>
      </c>
      <c r="R728" s="4">
        <v>2.4</v>
      </c>
      <c r="S728" s="4">
        <v>8.83</v>
      </c>
      <c r="T728" s="5">
        <v>0.042</v>
      </c>
      <c r="U728" s="5">
        <v>5.04</v>
      </c>
      <c r="V728" s="5">
        <v>0.05</v>
      </c>
      <c r="W728" s="5">
        <v>6</v>
      </c>
      <c r="X728" s="4">
        <v>1059.6</v>
      </c>
    </row>
    <row r="729" customHeight="1" spans="2:24">
      <c r="B729" s="6" t="str">
        <f t="shared" si="11"/>
        <v>43115-DT1EJ20250101-A-JIEU8018198-PARTS</v>
      </c>
      <c r="C729" t="s">
        <v>80</v>
      </c>
      <c r="D729" t="s">
        <v>81</v>
      </c>
      <c r="E729" t="s">
        <v>465</v>
      </c>
      <c r="F729" t="s">
        <v>466</v>
      </c>
      <c r="G729" s="1" t="s">
        <v>84</v>
      </c>
      <c r="I729" s="1" t="s">
        <v>85</v>
      </c>
      <c r="J729" s="1" t="s">
        <v>522</v>
      </c>
      <c r="K729" s="1" t="s">
        <v>551</v>
      </c>
      <c r="L729">
        <v>4016995709</v>
      </c>
      <c r="M729" s="2" t="s">
        <v>552</v>
      </c>
      <c r="N729" s="3" t="s">
        <v>553</v>
      </c>
      <c r="O729" s="1">
        <v>120</v>
      </c>
      <c r="P729" s="4">
        <v>4.61</v>
      </c>
      <c r="Q729" s="4">
        <v>44.4</v>
      </c>
      <c r="R729" s="4">
        <v>1.2</v>
      </c>
      <c r="S729" s="4">
        <v>4.99</v>
      </c>
      <c r="T729" s="5">
        <v>0.078</v>
      </c>
      <c r="U729" s="5">
        <v>9.36</v>
      </c>
      <c r="V729" s="5">
        <v>0.1</v>
      </c>
      <c r="W729" s="5">
        <v>12</v>
      </c>
      <c r="X729" s="4">
        <v>598.8</v>
      </c>
    </row>
    <row r="730" customHeight="1" spans="2:24">
      <c r="B730" s="6" t="str">
        <f t="shared" si="11"/>
        <v>43115-DT1EJ20250101-A-JIEU8018198-PARTS</v>
      </c>
      <c r="C730" t="s">
        <v>80</v>
      </c>
      <c r="D730" t="s">
        <v>81</v>
      </c>
      <c r="E730" t="s">
        <v>465</v>
      </c>
      <c r="F730" t="s">
        <v>466</v>
      </c>
      <c r="G730" s="1" t="s">
        <v>84</v>
      </c>
      <c r="I730" s="1" t="s">
        <v>85</v>
      </c>
      <c r="J730" s="1" t="s">
        <v>522</v>
      </c>
      <c r="K730" s="1" t="s">
        <v>551</v>
      </c>
      <c r="L730">
        <v>4016995709</v>
      </c>
      <c r="M730" s="2" t="s">
        <v>552</v>
      </c>
      <c r="N730" s="3" t="s">
        <v>553</v>
      </c>
      <c r="O730" s="1">
        <v>120</v>
      </c>
      <c r="P730" s="4">
        <v>4.61</v>
      </c>
      <c r="Q730" s="4">
        <v>44.4</v>
      </c>
      <c r="R730" s="4">
        <v>1.2</v>
      </c>
      <c r="S730" s="4">
        <v>4.99</v>
      </c>
      <c r="T730" s="5">
        <v>0.078</v>
      </c>
      <c r="U730" s="5">
        <v>9.36</v>
      </c>
      <c r="V730" s="5">
        <v>0.1</v>
      </c>
      <c r="W730" s="5">
        <v>12</v>
      </c>
      <c r="X730" s="4">
        <v>598.8</v>
      </c>
    </row>
    <row r="731" customHeight="1" spans="2:24">
      <c r="B731" s="6" t="str">
        <f t="shared" si="11"/>
        <v>43115-DT1EJ20250101-A-JIEU8018198-PARTS</v>
      </c>
      <c r="C731" t="s">
        <v>80</v>
      </c>
      <c r="D731" t="s">
        <v>81</v>
      </c>
      <c r="E731" t="s">
        <v>465</v>
      </c>
      <c r="F731" t="s">
        <v>466</v>
      </c>
      <c r="G731" s="1" t="s">
        <v>84</v>
      </c>
      <c r="I731" s="1" t="s">
        <v>85</v>
      </c>
      <c r="J731" s="1" t="s">
        <v>522</v>
      </c>
      <c r="K731" s="1" t="s">
        <v>554</v>
      </c>
      <c r="L731">
        <v>8708999709</v>
      </c>
      <c r="M731" s="2" t="s">
        <v>555</v>
      </c>
      <c r="N731" s="3" t="s">
        <v>530</v>
      </c>
      <c r="O731" s="1">
        <v>60</v>
      </c>
      <c r="P731" s="4">
        <v>55.21</v>
      </c>
      <c r="Q731" s="4">
        <v>265.8</v>
      </c>
      <c r="R731" s="4">
        <v>7.8</v>
      </c>
      <c r="S731" s="4">
        <v>59.77</v>
      </c>
      <c r="T731" s="5">
        <v>0.088</v>
      </c>
      <c r="U731" s="5">
        <v>5.28</v>
      </c>
      <c r="V731" s="5">
        <v>0.11</v>
      </c>
      <c r="W731" s="5">
        <v>6.6</v>
      </c>
      <c r="X731" s="4">
        <v>3586.2</v>
      </c>
    </row>
    <row r="732" customHeight="1" spans="2:24">
      <c r="B732" s="6" t="str">
        <f t="shared" si="11"/>
        <v>43115-DT1EJ20250101-A-JIEU8018198-PARTS</v>
      </c>
      <c r="C732" t="s">
        <v>80</v>
      </c>
      <c r="D732" t="s">
        <v>81</v>
      </c>
      <c r="E732" t="s">
        <v>465</v>
      </c>
      <c r="F732" t="s">
        <v>466</v>
      </c>
      <c r="G732" s="1" t="s">
        <v>84</v>
      </c>
      <c r="I732" s="1" t="s">
        <v>85</v>
      </c>
      <c r="J732" s="1" t="s">
        <v>522</v>
      </c>
      <c r="K732" s="1" t="s">
        <v>554</v>
      </c>
      <c r="L732">
        <v>8708999709</v>
      </c>
      <c r="M732" s="2" t="s">
        <v>555</v>
      </c>
      <c r="N732" s="3" t="s">
        <v>530</v>
      </c>
      <c r="O732" s="1">
        <v>60</v>
      </c>
      <c r="P732" s="4">
        <v>55.21</v>
      </c>
      <c r="Q732" s="4">
        <v>265.8</v>
      </c>
      <c r="R732" s="4">
        <v>7.8</v>
      </c>
      <c r="S732" s="4">
        <v>59.77</v>
      </c>
      <c r="T732" s="5">
        <v>0.088</v>
      </c>
      <c r="U732" s="5">
        <v>5.28</v>
      </c>
      <c r="V732" s="5">
        <v>0.11</v>
      </c>
      <c r="W732" s="5">
        <v>6.6</v>
      </c>
      <c r="X732" s="4">
        <v>3586.2</v>
      </c>
    </row>
    <row r="733" customHeight="1" spans="2:24">
      <c r="B733" s="6" t="str">
        <f t="shared" si="11"/>
        <v>43115-DT1EJ20250101-A-JIEU8018198-PARTS</v>
      </c>
      <c r="C733" t="s">
        <v>80</v>
      </c>
      <c r="D733" t="s">
        <v>81</v>
      </c>
      <c r="E733" t="s">
        <v>465</v>
      </c>
      <c r="F733" t="s">
        <v>466</v>
      </c>
      <c r="G733" s="1" t="s">
        <v>84</v>
      </c>
      <c r="I733" s="1" t="s">
        <v>85</v>
      </c>
      <c r="J733" s="1" t="s">
        <v>522</v>
      </c>
      <c r="K733" s="1" t="s">
        <v>556</v>
      </c>
      <c r="L733">
        <v>4009210000</v>
      </c>
      <c r="M733" s="2" t="s">
        <v>557</v>
      </c>
      <c r="N733" s="3" t="s">
        <v>558</v>
      </c>
      <c r="O733" s="1">
        <v>60</v>
      </c>
      <c r="P733" s="4">
        <v>1.74</v>
      </c>
      <c r="Q733" s="4">
        <v>8.4</v>
      </c>
      <c r="R733" s="4">
        <v>0.6</v>
      </c>
      <c r="S733" s="4">
        <v>1.89</v>
      </c>
      <c r="T733" s="5">
        <v>0.021</v>
      </c>
      <c r="U733" s="5">
        <v>1.26</v>
      </c>
      <c r="V733" s="5">
        <v>0.03</v>
      </c>
      <c r="W733" s="5">
        <v>1.8</v>
      </c>
      <c r="X733" s="4">
        <v>113.4</v>
      </c>
    </row>
    <row r="734" customHeight="1" spans="2:24">
      <c r="B734" s="6" t="str">
        <f t="shared" si="11"/>
        <v>43115-DT1EJ20250101-A-JIEU8018198-PARTS</v>
      </c>
      <c r="C734" t="s">
        <v>80</v>
      </c>
      <c r="D734" t="s">
        <v>81</v>
      </c>
      <c r="E734" t="s">
        <v>465</v>
      </c>
      <c r="F734" t="s">
        <v>466</v>
      </c>
      <c r="G734" s="1" t="s">
        <v>84</v>
      </c>
      <c r="I734" s="1" t="s">
        <v>85</v>
      </c>
      <c r="J734" s="1" t="s">
        <v>522</v>
      </c>
      <c r="K734" s="1" t="s">
        <v>556</v>
      </c>
      <c r="L734">
        <v>4009210000</v>
      </c>
      <c r="M734" s="2" t="s">
        <v>557</v>
      </c>
      <c r="N734" s="3" t="s">
        <v>558</v>
      </c>
      <c r="O734" s="1">
        <v>60</v>
      </c>
      <c r="P734" s="4">
        <v>1.74</v>
      </c>
      <c r="Q734" s="4">
        <v>8.4</v>
      </c>
      <c r="R734" s="4">
        <v>0.6</v>
      </c>
      <c r="S734" s="4">
        <v>1.89</v>
      </c>
      <c r="T734" s="5">
        <v>0.021</v>
      </c>
      <c r="U734" s="5">
        <v>1.26</v>
      </c>
      <c r="V734" s="5">
        <v>0.03</v>
      </c>
      <c r="W734" s="5">
        <v>1.8</v>
      </c>
      <c r="X734" s="4">
        <v>113.4</v>
      </c>
    </row>
    <row r="735" customHeight="1" spans="2:24">
      <c r="B735" s="6" t="str">
        <f t="shared" si="11"/>
        <v>43115-DT1EJ20250101-A-JIEU8018198-PARTS</v>
      </c>
      <c r="C735" t="s">
        <v>80</v>
      </c>
      <c r="D735" t="s">
        <v>81</v>
      </c>
      <c r="E735" t="s">
        <v>465</v>
      </c>
      <c r="F735" t="s">
        <v>466</v>
      </c>
      <c r="G735" s="1" t="s">
        <v>84</v>
      </c>
      <c r="I735" s="1" t="s">
        <v>85</v>
      </c>
      <c r="J735" s="1" t="s">
        <v>522</v>
      </c>
      <c r="K735" s="1" t="s">
        <v>559</v>
      </c>
      <c r="L735">
        <v>8302300009</v>
      </c>
      <c r="M735" s="2" t="s">
        <v>560</v>
      </c>
      <c r="N735" s="3" t="s">
        <v>561</v>
      </c>
      <c r="O735" s="1">
        <v>60</v>
      </c>
      <c r="P735" s="4">
        <v>5.71</v>
      </c>
      <c r="Q735" s="4">
        <v>27.6</v>
      </c>
      <c r="R735" s="4">
        <v>0.6</v>
      </c>
      <c r="S735" s="4">
        <v>6.18</v>
      </c>
      <c r="T735" s="5">
        <v>0.127</v>
      </c>
      <c r="U735" s="5">
        <v>7.62</v>
      </c>
      <c r="V735" s="5">
        <v>0.16</v>
      </c>
      <c r="W735" s="5">
        <v>9.6</v>
      </c>
      <c r="X735" s="4">
        <v>370.8</v>
      </c>
    </row>
    <row r="736" customHeight="1" spans="2:24">
      <c r="B736" s="6" t="str">
        <f t="shared" si="11"/>
        <v>43115-DT1EJ20250101-A-JIEU8018198-PARTS</v>
      </c>
      <c r="C736" t="s">
        <v>80</v>
      </c>
      <c r="D736" t="s">
        <v>81</v>
      </c>
      <c r="E736" t="s">
        <v>465</v>
      </c>
      <c r="F736" t="s">
        <v>466</v>
      </c>
      <c r="G736" s="1" t="s">
        <v>84</v>
      </c>
      <c r="I736" s="1" t="s">
        <v>85</v>
      </c>
      <c r="J736" s="1" t="s">
        <v>522</v>
      </c>
      <c r="K736" s="1" t="s">
        <v>559</v>
      </c>
      <c r="L736">
        <v>8302300009</v>
      </c>
      <c r="M736" s="2" t="s">
        <v>560</v>
      </c>
      <c r="N736" s="3" t="s">
        <v>561</v>
      </c>
      <c r="O736" s="1">
        <v>60</v>
      </c>
      <c r="P736" s="4">
        <v>5.71</v>
      </c>
      <c r="Q736" s="4">
        <v>27.6</v>
      </c>
      <c r="R736" s="4">
        <v>0.6</v>
      </c>
      <c r="S736" s="4">
        <v>6.18</v>
      </c>
      <c r="T736" s="5">
        <v>0.127</v>
      </c>
      <c r="U736" s="5">
        <v>7.62</v>
      </c>
      <c r="V736" s="5">
        <v>0.16</v>
      </c>
      <c r="W736" s="5">
        <v>9.6</v>
      </c>
      <c r="X736" s="4">
        <v>370.8</v>
      </c>
    </row>
    <row r="737" customHeight="1" spans="2:28">
      <c r="B737" s="6" t="str">
        <f t="shared" si="11"/>
        <v>43115-DT1EJ20250101-A-JIEU8018198-PARTS</v>
      </c>
      <c r="C737" t="s">
        <v>80</v>
      </c>
      <c r="D737" t="s">
        <v>81</v>
      </c>
      <c r="E737" t="s">
        <v>465</v>
      </c>
      <c r="F737" t="s">
        <v>466</v>
      </c>
      <c r="G737" s="1" t="s">
        <v>84</v>
      </c>
      <c r="I737" s="1" t="s">
        <v>85</v>
      </c>
      <c r="J737" s="1" t="s">
        <v>522</v>
      </c>
      <c r="K737" s="1" t="s">
        <v>562</v>
      </c>
      <c r="L737">
        <v>3926909709</v>
      </c>
      <c r="M737" s="2" t="s">
        <v>563</v>
      </c>
      <c r="N737" s="3" t="s">
        <v>564</v>
      </c>
      <c r="O737" s="1">
        <v>60</v>
      </c>
      <c r="P737" s="4">
        <v>0.41</v>
      </c>
      <c r="Q737" s="4">
        <v>1.8</v>
      </c>
      <c r="R737" s="4">
        <v>0.6</v>
      </c>
      <c r="S737" s="4">
        <v>0.45</v>
      </c>
      <c r="T737" s="5">
        <v>0.15</v>
      </c>
      <c r="U737" s="5">
        <v>9</v>
      </c>
      <c r="V737" s="5">
        <v>0.19</v>
      </c>
      <c r="W737" s="5">
        <v>11.4</v>
      </c>
      <c r="X737" s="4">
        <v>27</v>
      </c>
    </row>
    <row r="738" customHeight="1" spans="2:28">
      <c r="B738" s="6" t="str">
        <f t="shared" si="11"/>
        <v>43115-DT1EJ20250101-A-JIEU8018198-PARTS</v>
      </c>
      <c r="C738" t="s">
        <v>80</v>
      </c>
      <c r="D738" t="s">
        <v>81</v>
      </c>
      <c r="E738" t="s">
        <v>465</v>
      </c>
      <c r="F738" t="s">
        <v>466</v>
      </c>
      <c r="G738" s="1" t="s">
        <v>84</v>
      </c>
      <c r="I738" s="1" t="s">
        <v>85</v>
      </c>
      <c r="J738" s="1" t="s">
        <v>522</v>
      </c>
      <c r="K738" s="1" t="s">
        <v>562</v>
      </c>
      <c r="L738">
        <v>3926909709</v>
      </c>
      <c r="M738" s="2" t="s">
        <v>563</v>
      </c>
      <c r="N738" s="3" t="s">
        <v>564</v>
      </c>
      <c r="O738" s="1">
        <v>60</v>
      </c>
      <c r="P738" s="4">
        <v>0.41</v>
      </c>
      <c r="Q738" s="4">
        <v>1.8</v>
      </c>
      <c r="R738" s="4">
        <v>0.6</v>
      </c>
      <c r="S738" s="4">
        <v>0.45</v>
      </c>
      <c r="T738" s="5">
        <v>0.15</v>
      </c>
      <c r="U738" s="5">
        <v>9</v>
      </c>
      <c r="V738" s="5">
        <v>0.19</v>
      </c>
      <c r="W738" s="5">
        <v>11.4</v>
      </c>
      <c r="X738" s="4">
        <v>27</v>
      </c>
    </row>
    <row r="739" customHeight="1" spans="2:28">
      <c r="B739" s="6" t="str">
        <f t="shared" si="11"/>
        <v>43115-DT1EJ20250101-A-JIEU8018198-PARTS</v>
      </c>
      <c r="C739" t="s">
        <v>80</v>
      </c>
      <c r="D739" t="s">
        <v>81</v>
      </c>
      <c r="E739" t="s">
        <v>465</v>
      </c>
      <c r="F739" t="s">
        <v>466</v>
      </c>
      <c r="G739" s="1" t="s">
        <v>84</v>
      </c>
      <c r="I739" s="1" t="s">
        <v>85</v>
      </c>
      <c r="J739" s="1" t="s">
        <v>522</v>
      </c>
      <c r="K739" s="1" t="s">
        <v>562</v>
      </c>
      <c r="L739">
        <v>3926909709</v>
      </c>
      <c r="M739" s="2" t="s">
        <v>563</v>
      </c>
      <c r="N739" s="3" t="s">
        <v>564</v>
      </c>
      <c r="O739" s="1">
        <v>60</v>
      </c>
      <c r="P739" s="4">
        <v>0.41</v>
      </c>
      <c r="Q739" s="4">
        <v>1.8</v>
      </c>
      <c r="R739" s="4">
        <v>0.6</v>
      </c>
      <c r="S739" s="4">
        <v>0.45</v>
      </c>
      <c r="T739" s="5">
        <v>0.15</v>
      </c>
      <c r="U739" s="5">
        <v>9</v>
      </c>
      <c r="V739" s="5">
        <v>0.19</v>
      </c>
      <c r="W739" s="5">
        <v>11.4</v>
      </c>
      <c r="X739" s="4">
        <v>27</v>
      </c>
    </row>
    <row r="740" customHeight="1" spans="2:28">
      <c r="B740" s="6" t="str">
        <f t="shared" si="11"/>
        <v>43115-DT1EJ20250101-A-JIEU8018198-PARTS</v>
      </c>
      <c r="C740" t="s">
        <v>80</v>
      </c>
      <c r="D740" t="s">
        <v>81</v>
      </c>
      <c r="E740" t="s">
        <v>465</v>
      </c>
      <c r="F740" t="s">
        <v>466</v>
      </c>
      <c r="G740" s="1" t="s">
        <v>84</v>
      </c>
      <c r="I740" s="1" t="s">
        <v>85</v>
      </c>
      <c r="J740" s="1" t="s">
        <v>522</v>
      </c>
      <c r="K740" s="1" t="s">
        <v>562</v>
      </c>
      <c r="L740">
        <v>3926909709</v>
      </c>
      <c r="M740" s="2" t="s">
        <v>563</v>
      </c>
      <c r="N740" s="3" t="s">
        <v>564</v>
      </c>
      <c r="O740" s="1">
        <v>60</v>
      </c>
      <c r="P740" s="4">
        <v>0.41</v>
      </c>
      <c r="Q740" s="4">
        <v>1.8</v>
      </c>
      <c r="R740" s="4">
        <v>0.6</v>
      </c>
      <c r="S740" s="4">
        <v>0.45</v>
      </c>
      <c r="T740" s="5">
        <v>0.15</v>
      </c>
      <c r="U740" s="5">
        <v>9</v>
      </c>
      <c r="V740" s="5">
        <v>0.19</v>
      </c>
      <c r="W740" s="5">
        <v>11.4</v>
      </c>
      <c r="X740" s="4">
        <v>27</v>
      </c>
    </row>
    <row r="741" customHeight="1" spans="2:28">
      <c r="B741" s="6" t="str">
        <f t="shared" si="11"/>
        <v>43115-DT1EJ20250101-A-JIEU8018198-PARTS</v>
      </c>
      <c r="C741" t="s">
        <v>80</v>
      </c>
      <c r="D741" t="s">
        <v>81</v>
      </c>
      <c r="E741" t="s">
        <v>465</v>
      </c>
      <c r="F741" t="s">
        <v>466</v>
      </c>
      <c r="G741" s="1" t="s">
        <v>84</v>
      </c>
      <c r="I741" s="1" t="s">
        <v>85</v>
      </c>
      <c r="J741" s="1" t="s">
        <v>522</v>
      </c>
      <c r="K741" s="1" t="s">
        <v>565</v>
      </c>
      <c r="L741">
        <v>8708999709</v>
      </c>
      <c r="M741" s="2" t="s">
        <v>566</v>
      </c>
      <c r="N741" s="3" t="s">
        <v>567</v>
      </c>
      <c r="O741" s="1">
        <v>20</v>
      </c>
      <c r="P741" s="4">
        <v>63.11</v>
      </c>
      <c r="Q741" s="4">
        <v>101.2</v>
      </c>
      <c r="R741" s="4">
        <v>3</v>
      </c>
      <c r="S741" s="4">
        <v>68.32</v>
      </c>
      <c r="T741" s="5">
        <v>0.618</v>
      </c>
      <c r="U741" s="5">
        <v>12.36</v>
      </c>
      <c r="V741" s="5">
        <v>0.79</v>
      </c>
      <c r="W741" s="5">
        <v>15.8</v>
      </c>
      <c r="X741" s="4">
        <v>1366.4</v>
      </c>
    </row>
    <row r="742" customHeight="1" spans="2:28">
      <c r="B742" s="6" t="str">
        <f t="shared" si="11"/>
        <v>43115-DT1EJ20250101-A-JIEU8018198-PARTS</v>
      </c>
      <c r="C742" t="s">
        <v>80</v>
      </c>
      <c r="D742" t="s">
        <v>81</v>
      </c>
      <c r="E742" t="s">
        <v>465</v>
      </c>
      <c r="F742" t="s">
        <v>466</v>
      </c>
      <c r="G742" s="1" t="s">
        <v>84</v>
      </c>
      <c r="I742" s="1" t="s">
        <v>85</v>
      </c>
      <c r="J742" s="1" t="s">
        <v>522</v>
      </c>
      <c r="K742" s="1" t="s">
        <v>565</v>
      </c>
      <c r="L742">
        <v>8708999709</v>
      </c>
      <c r="M742" s="2" t="s">
        <v>566</v>
      </c>
      <c r="N742" s="3" t="s">
        <v>567</v>
      </c>
      <c r="O742" s="1">
        <v>20</v>
      </c>
      <c r="P742" s="4">
        <v>63.11</v>
      </c>
      <c r="Q742" s="4">
        <v>101.2</v>
      </c>
      <c r="R742" s="4">
        <v>3</v>
      </c>
      <c r="S742" s="4">
        <v>68.32</v>
      </c>
      <c r="T742" s="5">
        <v>0.618</v>
      </c>
      <c r="U742" s="5">
        <v>12.36</v>
      </c>
      <c r="V742" s="5">
        <v>0.79</v>
      </c>
      <c r="W742" s="5">
        <v>15.8</v>
      </c>
      <c r="X742" s="4">
        <v>1366.4</v>
      </c>
    </row>
    <row r="743" customHeight="1" spans="2:28">
      <c r="B743" s="6" t="str">
        <f t="shared" si="11"/>
        <v>43115-DT1EJ20250101-A-JIEU8018198-PARTS</v>
      </c>
      <c r="C743" t="s">
        <v>80</v>
      </c>
      <c r="D743" t="s">
        <v>81</v>
      </c>
      <c r="E743" t="s">
        <v>465</v>
      </c>
      <c r="F743" t="s">
        <v>466</v>
      </c>
      <c r="G743" s="1" t="s">
        <v>84</v>
      </c>
      <c r="I743" s="1" t="s">
        <v>85</v>
      </c>
      <c r="J743" s="1" t="s">
        <v>522</v>
      </c>
      <c r="K743" s="1" t="s">
        <v>568</v>
      </c>
      <c r="L743">
        <v>8708299009</v>
      </c>
      <c r="M743" s="2" t="s">
        <v>569</v>
      </c>
      <c r="N743" s="3" t="s">
        <v>570</v>
      </c>
      <c r="O743" s="1">
        <v>30</v>
      </c>
      <c r="P743" s="4">
        <v>9.3</v>
      </c>
      <c r="Q743" s="4">
        <v>22.5</v>
      </c>
      <c r="R743" s="4">
        <v>0.6</v>
      </c>
      <c r="S743" s="4">
        <v>10.07</v>
      </c>
      <c r="T743" s="5">
        <v>0.569</v>
      </c>
      <c r="U743" s="5">
        <v>17.07</v>
      </c>
      <c r="V743" s="5">
        <v>0.73</v>
      </c>
      <c r="W743" s="5">
        <v>21.9</v>
      </c>
      <c r="X743" s="4">
        <v>302.1</v>
      </c>
    </row>
    <row r="744" customHeight="1" spans="2:28">
      <c r="B744" s="6" t="str">
        <f t="shared" si="11"/>
        <v>43115-DT1EJ20250101-A-JIEU8018198-PARTS</v>
      </c>
      <c r="C744" t="s">
        <v>80</v>
      </c>
      <c r="D744" t="s">
        <v>81</v>
      </c>
      <c r="E744" t="s">
        <v>465</v>
      </c>
      <c r="F744" t="s">
        <v>466</v>
      </c>
      <c r="G744" s="1" t="s">
        <v>84</v>
      </c>
      <c r="I744" s="1" t="s">
        <v>85</v>
      </c>
      <c r="J744" s="1" t="s">
        <v>522</v>
      </c>
      <c r="K744" s="1" t="s">
        <v>568</v>
      </c>
      <c r="L744">
        <v>8708299009</v>
      </c>
      <c r="M744" s="2" t="s">
        <v>569</v>
      </c>
      <c r="N744" s="3" t="s">
        <v>570</v>
      </c>
      <c r="O744" s="1">
        <v>30</v>
      </c>
      <c r="P744" s="4">
        <v>9.3</v>
      </c>
      <c r="Q744" s="4">
        <v>22.5</v>
      </c>
      <c r="R744" s="4">
        <v>0.6</v>
      </c>
      <c r="S744" s="4">
        <v>10.07</v>
      </c>
      <c r="T744" s="5">
        <v>0.569</v>
      </c>
      <c r="U744" s="5">
        <v>17.07</v>
      </c>
      <c r="V744" s="5">
        <v>0.73</v>
      </c>
      <c r="W744" s="5">
        <v>21.9</v>
      </c>
      <c r="X744" s="4">
        <v>302.1</v>
      </c>
    </row>
    <row r="745" customHeight="1" spans="2:28">
      <c r="B745" s="6" t="str">
        <f t="shared" si="11"/>
        <v>43115-DT1EJ20250101-A-JIEU8018198-PARTS</v>
      </c>
      <c r="C745" t="s">
        <v>80</v>
      </c>
      <c r="D745" t="s">
        <v>81</v>
      </c>
      <c r="E745" t="s">
        <v>465</v>
      </c>
      <c r="F745" t="s">
        <v>466</v>
      </c>
      <c r="G745" s="1" t="s">
        <v>84</v>
      </c>
      <c r="I745" s="1" t="s">
        <v>85</v>
      </c>
      <c r="J745" s="1" t="s">
        <v>522</v>
      </c>
      <c r="K745" s="1" t="s">
        <v>568</v>
      </c>
      <c r="L745">
        <v>8708299009</v>
      </c>
      <c r="M745" s="2" t="s">
        <v>569</v>
      </c>
      <c r="N745" s="3" t="s">
        <v>570</v>
      </c>
      <c r="O745" s="1">
        <v>30</v>
      </c>
      <c r="P745" s="4">
        <v>9.3</v>
      </c>
      <c r="Q745" s="4">
        <v>22.5</v>
      </c>
      <c r="R745" s="4">
        <v>0.6</v>
      </c>
      <c r="S745" s="4">
        <v>10.07</v>
      </c>
      <c r="T745" s="5">
        <v>0.569</v>
      </c>
      <c r="U745" s="5">
        <v>17.07</v>
      </c>
      <c r="V745" s="5">
        <v>0.73</v>
      </c>
      <c r="W745" s="5">
        <v>21.9</v>
      </c>
      <c r="X745" s="4">
        <v>302.1</v>
      </c>
    </row>
    <row r="746" customHeight="1" spans="2:28">
      <c r="B746" s="6" t="str">
        <f t="shared" si="11"/>
        <v>43115-DT1EJ20250101-A-JIEU8018198-PARTS</v>
      </c>
      <c r="C746" t="s">
        <v>80</v>
      </c>
      <c r="D746" t="s">
        <v>81</v>
      </c>
      <c r="E746" t="s">
        <v>465</v>
      </c>
      <c r="F746" t="s">
        <v>466</v>
      </c>
      <c r="G746" s="1" t="s">
        <v>84</v>
      </c>
      <c r="I746" s="1" t="s">
        <v>85</v>
      </c>
      <c r="J746" s="1" t="s">
        <v>522</v>
      </c>
      <c r="K746" s="1" t="s">
        <v>568</v>
      </c>
      <c r="L746">
        <v>8708299009</v>
      </c>
      <c r="M746" s="2" t="s">
        <v>569</v>
      </c>
      <c r="N746" s="3" t="s">
        <v>570</v>
      </c>
      <c r="O746" s="1">
        <v>30</v>
      </c>
      <c r="P746" s="4">
        <v>9.3</v>
      </c>
      <c r="Q746" s="4">
        <v>22.5</v>
      </c>
      <c r="R746" s="4">
        <v>0.6</v>
      </c>
      <c r="S746" s="4">
        <v>10.07</v>
      </c>
      <c r="T746" s="5">
        <v>0.569</v>
      </c>
      <c r="U746" s="5">
        <v>17.07</v>
      </c>
      <c r="V746" s="5">
        <v>0.73</v>
      </c>
      <c r="W746" s="5">
        <v>21.9</v>
      </c>
      <c r="X746" s="4">
        <v>302.1</v>
      </c>
    </row>
    <row r="747" customHeight="1" spans="2:28">
      <c r="B747" s="6" t="str">
        <f t="shared" si="11"/>
        <v>43115-DT1EJ20250101-A-JIEU8018198-PARTS</v>
      </c>
      <c r="C747" t="s">
        <v>80</v>
      </c>
      <c r="D747" t="s">
        <v>81</v>
      </c>
      <c r="E747" t="s">
        <v>465</v>
      </c>
      <c r="F747" t="s">
        <v>466</v>
      </c>
      <c r="G747" s="1" t="s">
        <v>84</v>
      </c>
      <c r="I747" s="1" t="s">
        <v>85</v>
      </c>
      <c r="J747" s="1" t="s">
        <v>522</v>
      </c>
      <c r="K747" s="1" t="s">
        <v>571</v>
      </c>
      <c r="L747">
        <v>8708299009</v>
      </c>
      <c r="M747" s="2" t="s">
        <v>572</v>
      </c>
      <c r="N747" s="3" t="s">
        <v>573</v>
      </c>
      <c r="O747" s="1">
        <v>30</v>
      </c>
      <c r="P747" s="4">
        <v>9.3</v>
      </c>
      <c r="Q747" s="4">
        <v>22.5</v>
      </c>
      <c r="R747" s="4">
        <v>0.6</v>
      </c>
      <c r="S747" s="4">
        <v>10.07</v>
      </c>
      <c r="T747" s="5">
        <v>0.515</v>
      </c>
      <c r="U747" s="5">
        <v>15.45</v>
      </c>
      <c r="V747" s="5">
        <v>0.66</v>
      </c>
      <c r="W747" s="5">
        <v>19.8</v>
      </c>
      <c r="X747" s="4">
        <v>302.1</v>
      </c>
    </row>
    <row r="748" customHeight="1" spans="2:28">
      <c r="B748" s="6" t="str">
        <f t="shared" si="11"/>
        <v>43115-DT1EJ20250101-A-JIEU8018198-PARTS</v>
      </c>
      <c r="C748" t="s">
        <v>80</v>
      </c>
      <c r="D748" t="s">
        <v>81</v>
      </c>
      <c r="E748" t="s">
        <v>465</v>
      </c>
      <c r="F748" t="s">
        <v>466</v>
      </c>
      <c r="G748" s="1" t="s">
        <v>84</v>
      </c>
      <c r="I748" s="1" t="s">
        <v>85</v>
      </c>
      <c r="J748" s="1" t="s">
        <v>522</v>
      </c>
      <c r="K748" s="1" t="s">
        <v>571</v>
      </c>
      <c r="L748">
        <v>8708299009</v>
      </c>
      <c r="M748" s="2" t="s">
        <v>572</v>
      </c>
      <c r="N748" s="3" t="s">
        <v>573</v>
      </c>
      <c r="O748" s="1">
        <v>30</v>
      </c>
      <c r="P748" s="4">
        <v>9.3</v>
      </c>
      <c r="Q748" s="4">
        <v>22.5</v>
      </c>
      <c r="R748" s="4">
        <v>0.6</v>
      </c>
      <c r="S748" s="4">
        <v>10.07</v>
      </c>
      <c r="T748" s="5">
        <v>0.515</v>
      </c>
      <c r="U748" s="5">
        <v>15.45</v>
      </c>
      <c r="V748" s="5">
        <v>0.66</v>
      </c>
      <c r="W748" s="5">
        <v>19.8</v>
      </c>
      <c r="X748" s="4">
        <v>302.1</v>
      </c>
    </row>
    <row r="749" customHeight="1" spans="2:28">
      <c r="B749" s="6" t="str">
        <f t="shared" si="11"/>
        <v>43115-DT1EJ20250101-A-JIEU8018198-PARTS</v>
      </c>
      <c r="C749" t="s">
        <v>80</v>
      </c>
      <c r="D749" t="s">
        <v>81</v>
      </c>
      <c r="E749" t="s">
        <v>465</v>
      </c>
      <c r="F749" t="s">
        <v>466</v>
      </c>
      <c r="G749" s="1" t="s">
        <v>84</v>
      </c>
      <c r="I749" s="1" t="s">
        <v>85</v>
      </c>
      <c r="J749" s="1" t="s">
        <v>522</v>
      </c>
      <c r="K749" s="1" t="s">
        <v>571</v>
      </c>
      <c r="L749">
        <v>8708299009</v>
      </c>
      <c r="M749" s="2" t="s">
        <v>572</v>
      </c>
      <c r="N749" s="3" t="s">
        <v>573</v>
      </c>
      <c r="O749" s="1">
        <v>30</v>
      </c>
      <c r="P749" s="4">
        <v>9.3</v>
      </c>
      <c r="Q749" s="4">
        <v>22.5</v>
      </c>
      <c r="R749" s="4">
        <v>0.6</v>
      </c>
      <c r="S749" s="4">
        <v>10.07</v>
      </c>
      <c r="T749" s="5">
        <v>0.515</v>
      </c>
      <c r="U749" s="5">
        <v>15.45</v>
      </c>
      <c r="V749" s="5">
        <v>0.66</v>
      </c>
      <c r="W749" s="5">
        <v>19.8</v>
      </c>
      <c r="X749" s="4">
        <v>302.1</v>
      </c>
    </row>
    <row r="750" customHeight="1" spans="2:28">
      <c r="B750" s="6" t="str">
        <f t="shared" si="11"/>
        <v>43115-DT1EJ20250101-A-JIEU8018198-PARTS</v>
      </c>
      <c r="C750" t="s">
        <v>80</v>
      </c>
      <c r="D750" t="s">
        <v>81</v>
      </c>
      <c r="E750" t="s">
        <v>465</v>
      </c>
      <c r="F750" t="s">
        <v>466</v>
      </c>
      <c r="G750" s="1" t="s">
        <v>84</v>
      </c>
      <c r="I750" s="1" t="s">
        <v>85</v>
      </c>
      <c r="J750" s="1" t="s">
        <v>522</v>
      </c>
      <c r="K750" s="1" t="s">
        <v>571</v>
      </c>
      <c r="L750">
        <v>8708299009</v>
      </c>
      <c r="M750" s="2" t="s">
        <v>572</v>
      </c>
      <c r="N750" s="3" t="s">
        <v>573</v>
      </c>
      <c r="O750" s="1">
        <v>30</v>
      </c>
      <c r="P750" s="4">
        <v>9.3</v>
      </c>
      <c r="Q750" s="4">
        <v>22.5</v>
      </c>
      <c r="R750" s="4">
        <v>0.6</v>
      </c>
      <c r="S750" s="4">
        <v>10.07</v>
      </c>
      <c r="T750" s="5">
        <v>0.515</v>
      </c>
      <c r="U750" s="5">
        <v>15.45</v>
      </c>
      <c r="V750" s="5">
        <v>0.66</v>
      </c>
      <c r="W750" s="5">
        <v>19.8</v>
      </c>
      <c r="X750" s="4">
        <v>302.1</v>
      </c>
    </row>
    <row r="751" customHeight="1" spans="2:28">
      <c r="B751" s="6" t="str">
        <f t="shared" si="11"/>
        <v>43115-DT1EJ20250101-A-JIEU8018198-PARTS</v>
      </c>
      <c r="C751" t="s">
        <v>80</v>
      </c>
      <c r="D751" t="s">
        <v>81</v>
      </c>
      <c r="E751" t="s">
        <v>465</v>
      </c>
      <c r="F751" t="s">
        <v>466</v>
      </c>
      <c r="G751" s="1" t="s">
        <v>84</v>
      </c>
      <c r="I751" s="1" t="s">
        <v>85</v>
      </c>
      <c r="J751" s="1" t="s">
        <v>574</v>
      </c>
      <c r="K751" s="1" t="s">
        <v>575</v>
      </c>
      <c r="L751">
        <v>8708999709</v>
      </c>
      <c r="M751" s="2" t="s">
        <v>576</v>
      </c>
      <c r="N751" s="3" t="s">
        <v>577</v>
      </c>
      <c r="O751" s="1">
        <v>60</v>
      </c>
      <c r="P751" s="4">
        <v>20.54</v>
      </c>
      <c r="Q751" s="4">
        <v>99</v>
      </c>
      <c r="R751" s="4">
        <v>3</v>
      </c>
      <c r="S751" s="4">
        <v>22.24</v>
      </c>
      <c r="T751" s="5">
        <v>0.258</v>
      </c>
      <c r="U751" s="5">
        <v>15.48</v>
      </c>
      <c r="V751" s="5">
        <v>0.36</v>
      </c>
      <c r="W751" s="5">
        <v>21.6</v>
      </c>
      <c r="X751" s="4">
        <v>1334.4</v>
      </c>
      <c r="Y751">
        <v>1140</v>
      </c>
      <c r="Z751">
        <v>1180</v>
      </c>
      <c r="AA751">
        <v>850</v>
      </c>
      <c r="AB751" s="1">
        <v>1.14</v>
      </c>
    </row>
    <row r="752" customHeight="1" spans="2:28">
      <c r="B752" s="6" t="str">
        <f t="shared" si="11"/>
        <v>43115-DT1EJ20250101-A-JIEU8018198-PARTS</v>
      </c>
      <c r="C752" t="s">
        <v>80</v>
      </c>
      <c r="D752" t="s">
        <v>81</v>
      </c>
      <c r="E752" t="s">
        <v>465</v>
      </c>
      <c r="F752" t="s">
        <v>466</v>
      </c>
      <c r="G752" s="1" t="s">
        <v>84</v>
      </c>
      <c r="I752" s="1" t="s">
        <v>85</v>
      </c>
      <c r="J752" s="1" t="s">
        <v>574</v>
      </c>
      <c r="K752" s="1" t="s">
        <v>575</v>
      </c>
      <c r="L752">
        <v>8708999709</v>
      </c>
      <c r="M752" s="2" t="s">
        <v>576</v>
      </c>
      <c r="N752" s="3" t="s">
        <v>577</v>
      </c>
      <c r="O752" s="1">
        <v>60</v>
      </c>
      <c r="P752" s="4">
        <v>20.54</v>
      </c>
      <c r="Q752" s="4">
        <v>99</v>
      </c>
      <c r="R752" s="4">
        <v>3</v>
      </c>
      <c r="S752" s="4">
        <v>22.24</v>
      </c>
      <c r="T752" s="5">
        <v>0.258</v>
      </c>
      <c r="U752" s="5">
        <v>15.48</v>
      </c>
      <c r="V752" s="5">
        <v>0.36</v>
      </c>
      <c r="W752" s="5">
        <v>21.6</v>
      </c>
      <c r="X752" s="4">
        <v>1334.4</v>
      </c>
    </row>
    <row r="753" customHeight="1" spans="2:24">
      <c r="B753" s="6" t="str">
        <f t="shared" si="11"/>
        <v>43115-DT1EJ20250101-A-JIEU8018198-PARTS</v>
      </c>
      <c r="C753" t="s">
        <v>80</v>
      </c>
      <c r="D753" t="s">
        <v>81</v>
      </c>
      <c r="E753" t="s">
        <v>465</v>
      </c>
      <c r="F753" t="s">
        <v>466</v>
      </c>
      <c r="G753" s="1" t="s">
        <v>84</v>
      </c>
      <c r="I753" s="1" t="s">
        <v>85</v>
      </c>
      <c r="J753" s="1" t="s">
        <v>574</v>
      </c>
      <c r="K753" s="1" t="s">
        <v>578</v>
      </c>
      <c r="L753">
        <v>8708809909</v>
      </c>
      <c r="M753" s="2" t="s">
        <v>579</v>
      </c>
      <c r="N753" s="3" t="s">
        <v>580</v>
      </c>
      <c r="O753" s="1">
        <v>30</v>
      </c>
      <c r="P753" s="4">
        <v>24.47</v>
      </c>
      <c r="Q753" s="4">
        <v>58.8</v>
      </c>
      <c r="R753" s="4">
        <v>1.8</v>
      </c>
      <c r="S753" s="4">
        <v>26.49</v>
      </c>
      <c r="T753" s="5">
        <v>0.343</v>
      </c>
      <c r="U753" s="5">
        <v>10.29</v>
      </c>
      <c r="V753" s="5">
        <v>0.47</v>
      </c>
      <c r="W753" s="5">
        <v>14.1</v>
      </c>
      <c r="X753" s="4">
        <v>794.7</v>
      </c>
    </row>
    <row r="754" spans="2:24">
      <c r="B754" s="6" t="str">
        <f t="shared" si="11"/>
        <v>43115-DT1EJ20250101-A-JIEU8018198-PARTS</v>
      </c>
      <c r="C754" t="s">
        <v>80</v>
      </c>
      <c r="D754" t="s">
        <v>81</v>
      </c>
      <c r="E754" t="s">
        <v>465</v>
      </c>
      <c r="F754" t="s">
        <v>466</v>
      </c>
      <c r="G754" s="1" t="s">
        <v>84</v>
      </c>
      <c r="I754" s="1" t="s">
        <v>85</v>
      </c>
      <c r="J754" s="1" t="s">
        <v>574</v>
      </c>
      <c r="K754" s="1" t="s">
        <v>578</v>
      </c>
      <c r="L754">
        <v>8708809909</v>
      </c>
      <c r="M754" s="2" t="s">
        <v>579</v>
      </c>
      <c r="N754" s="3" t="s">
        <v>580</v>
      </c>
      <c r="O754" s="1">
        <v>30</v>
      </c>
      <c r="P754" s="4">
        <v>24.47</v>
      </c>
      <c r="Q754" s="4">
        <v>58.8</v>
      </c>
      <c r="R754" s="4">
        <v>1.8</v>
      </c>
      <c r="S754" s="4">
        <v>26.49</v>
      </c>
      <c r="T754" s="5">
        <v>0.343</v>
      </c>
      <c r="U754" s="5">
        <v>10.29</v>
      </c>
      <c r="V754" s="5">
        <v>0.47</v>
      </c>
      <c r="W754" s="5">
        <v>14.1</v>
      </c>
      <c r="X754" s="4">
        <v>794.7</v>
      </c>
    </row>
    <row r="755" spans="2:24">
      <c r="B755" s="6" t="str">
        <f t="shared" si="11"/>
        <v>43115-DT1EJ20250101-A-JIEU8018198-PARTS</v>
      </c>
      <c r="C755" t="s">
        <v>80</v>
      </c>
      <c r="D755" t="s">
        <v>81</v>
      </c>
      <c r="E755" t="s">
        <v>465</v>
      </c>
      <c r="F755" t="s">
        <v>466</v>
      </c>
      <c r="G755" s="1" t="s">
        <v>84</v>
      </c>
      <c r="I755" s="1" t="s">
        <v>85</v>
      </c>
      <c r="J755" s="1" t="s">
        <v>574</v>
      </c>
      <c r="K755" s="1" t="s">
        <v>578</v>
      </c>
      <c r="L755">
        <v>8708809909</v>
      </c>
      <c r="M755" s="2" t="s">
        <v>579</v>
      </c>
      <c r="N755" s="3" t="s">
        <v>580</v>
      </c>
      <c r="O755" s="1">
        <v>30</v>
      </c>
      <c r="P755" s="4">
        <v>24.47</v>
      </c>
      <c r="Q755" s="4">
        <v>58.8</v>
      </c>
      <c r="R755" s="4">
        <v>1.8</v>
      </c>
      <c r="S755" s="4">
        <v>26.49</v>
      </c>
      <c r="T755" s="5">
        <v>0.343</v>
      </c>
      <c r="U755" s="5">
        <v>10.29</v>
      </c>
      <c r="V755" s="5">
        <v>0.47</v>
      </c>
      <c r="W755" s="5">
        <v>14.1</v>
      </c>
      <c r="X755" s="4">
        <v>794.7</v>
      </c>
    </row>
    <row r="756" customHeight="1" spans="2:24">
      <c r="B756" s="6" t="str">
        <f t="shared" si="11"/>
        <v>43115-DT1EJ20250101-A-JIEU8018198-PARTS</v>
      </c>
      <c r="C756" t="s">
        <v>80</v>
      </c>
      <c r="D756" t="s">
        <v>81</v>
      </c>
      <c r="E756" t="s">
        <v>465</v>
      </c>
      <c r="F756" t="s">
        <v>466</v>
      </c>
      <c r="G756" s="1" t="s">
        <v>84</v>
      </c>
      <c r="I756" s="1" t="s">
        <v>85</v>
      </c>
      <c r="J756" s="1" t="s">
        <v>574</v>
      </c>
      <c r="K756" s="1" t="s">
        <v>578</v>
      </c>
      <c r="L756">
        <v>8708809909</v>
      </c>
      <c r="M756" s="2" t="s">
        <v>579</v>
      </c>
      <c r="N756" s="3" t="s">
        <v>580</v>
      </c>
      <c r="O756" s="1">
        <v>30</v>
      </c>
      <c r="P756" s="4">
        <v>24.47</v>
      </c>
      <c r="Q756" s="4">
        <v>58.8</v>
      </c>
      <c r="R756" s="4">
        <v>1.8</v>
      </c>
      <c r="S756" s="4">
        <v>26.49</v>
      </c>
      <c r="T756" s="5">
        <v>0.343</v>
      </c>
      <c r="U756" s="5">
        <v>10.29</v>
      </c>
      <c r="V756" s="5">
        <v>0.47</v>
      </c>
      <c r="W756" s="5">
        <v>14.1</v>
      </c>
      <c r="X756" s="4">
        <v>794.7</v>
      </c>
    </row>
    <row r="757" customHeight="1" spans="2:24">
      <c r="B757" s="6" t="str">
        <f t="shared" si="11"/>
        <v>43115-DT1EJ20250101-A-JIEU8018198-PARTS</v>
      </c>
      <c r="C757" t="s">
        <v>80</v>
      </c>
      <c r="D757" t="s">
        <v>81</v>
      </c>
      <c r="E757" t="s">
        <v>465</v>
      </c>
      <c r="F757" t="s">
        <v>466</v>
      </c>
      <c r="G757" s="1" t="s">
        <v>84</v>
      </c>
      <c r="I757" s="1" t="s">
        <v>85</v>
      </c>
      <c r="J757" s="1" t="s">
        <v>574</v>
      </c>
      <c r="K757" s="1" t="s">
        <v>578</v>
      </c>
      <c r="L757">
        <v>8708809909</v>
      </c>
      <c r="M757" s="2" t="s">
        <v>579</v>
      </c>
      <c r="N757" s="3" t="s">
        <v>580</v>
      </c>
      <c r="O757" s="1">
        <v>30</v>
      </c>
      <c r="P757" s="4">
        <v>24.47</v>
      </c>
      <c r="Q757" s="4">
        <v>58.8</v>
      </c>
      <c r="R757" s="4">
        <v>1.8</v>
      </c>
      <c r="S757" s="4">
        <v>26.49</v>
      </c>
      <c r="T757" s="5">
        <v>0.343</v>
      </c>
      <c r="U757" s="5">
        <v>10.29</v>
      </c>
      <c r="V757" s="5">
        <v>0.47</v>
      </c>
      <c r="W757" s="5">
        <v>14.1</v>
      </c>
      <c r="X757" s="4">
        <v>794.7</v>
      </c>
    </row>
    <row r="758" customHeight="1" spans="2:24">
      <c r="B758" s="6" t="str">
        <f t="shared" si="11"/>
        <v>43115-DT1EJ20250101-A-JIEU8018198-PARTS</v>
      </c>
      <c r="C758" t="s">
        <v>80</v>
      </c>
      <c r="D758" t="s">
        <v>81</v>
      </c>
      <c r="E758" t="s">
        <v>465</v>
      </c>
      <c r="F758" t="s">
        <v>466</v>
      </c>
      <c r="G758" s="1" t="s">
        <v>84</v>
      </c>
      <c r="I758" s="1" t="s">
        <v>85</v>
      </c>
      <c r="J758" s="1" t="s">
        <v>574</v>
      </c>
      <c r="K758" s="1" t="s">
        <v>578</v>
      </c>
      <c r="L758">
        <v>8708809909</v>
      </c>
      <c r="M758" s="2" t="s">
        <v>579</v>
      </c>
      <c r="N758" s="3" t="s">
        <v>580</v>
      </c>
      <c r="O758" s="1">
        <v>30</v>
      </c>
      <c r="P758" s="4">
        <v>24.47</v>
      </c>
      <c r="Q758" s="4">
        <v>58.8</v>
      </c>
      <c r="R758" s="4">
        <v>1.8</v>
      </c>
      <c r="S758" s="4">
        <v>26.49</v>
      </c>
      <c r="T758" s="5">
        <v>0.343</v>
      </c>
      <c r="U758" s="5">
        <v>10.29</v>
      </c>
      <c r="V758" s="5">
        <v>0.47</v>
      </c>
      <c r="W758" s="5">
        <v>14.1</v>
      </c>
      <c r="X758" s="4">
        <v>794.7</v>
      </c>
    </row>
    <row r="759" customHeight="1" spans="2:24">
      <c r="B759" s="6" t="str">
        <f t="shared" si="11"/>
        <v>43115-DT1EJ20250101-A-JIEU8018198-PARTS</v>
      </c>
      <c r="C759" t="s">
        <v>80</v>
      </c>
      <c r="D759" t="s">
        <v>81</v>
      </c>
      <c r="E759" t="s">
        <v>465</v>
      </c>
      <c r="F759" t="s">
        <v>466</v>
      </c>
      <c r="G759" s="1" t="s">
        <v>84</v>
      </c>
      <c r="I759" s="1" t="s">
        <v>85</v>
      </c>
      <c r="J759" s="1" t="s">
        <v>574</v>
      </c>
      <c r="K759" s="1" t="s">
        <v>578</v>
      </c>
      <c r="L759">
        <v>8708809909</v>
      </c>
      <c r="M759" s="2" t="s">
        <v>579</v>
      </c>
      <c r="N759" s="3" t="s">
        <v>580</v>
      </c>
      <c r="O759" s="1">
        <v>30</v>
      </c>
      <c r="P759" s="4">
        <v>24.47</v>
      </c>
      <c r="Q759" s="4">
        <v>58.8</v>
      </c>
      <c r="R759" s="4">
        <v>1.8</v>
      </c>
      <c r="S759" s="4">
        <v>26.49</v>
      </c>
      <c r="T759" s="5">
        <v>0.343</v>
      </c>
      <c r="U759" s="5">
        <v>10.29</v>
      </c>
      <c r="V759" s="5">
        <v>0.47</v>
      </c>
      <c r="W759" s="5">
        <v>14.1</v>
      </c>
      <c r="X759" s="4">
        <v>794.7</v>
      </c>
    </row>
    <row r="760" customHeight="1" spans="2:24">
      <c r="B760" s="6" t="str">
        <f t="shared" si="11"/>
        <v>43115-DT1EJ20250101-A-JIEU8018198-PARTS</v>
      </c>
      <c r="C760" t="s">
        <v>80</v>
      </c>
      <c r="D760" t="s">
        <v>81</v>
      </c>
      <c r="E760" t="s">
        <v>465</v>
      </c>
      <c r="F760" t="s">
        <v>466</v>
      </c>
      <c r="G760" s="1" t="s">
        <v>84</v>
      </c>
      <c r="I760" s="1" t="s">
        <v>85</v>
      </c>
      <c r="J760" s="1" t="s">
        <v>574</v>
      </c>
      <c r="K760" s="1" t="s">
        <v>578</v>
      </c>
      <c r="L760">
        <v>8708809909</v>
      </c>
      <c r="M760" s="2" t="s">
        <v>579</v>
      </c>
      <c r="N760" s="3" t="s">
        <v>580</v>
      </c>
      <c r="O760" s="1">
        <v>30</v>
      </c>
      <c r="P760" s="4">
        <v>24.47</v>
      </c>
      <c r="Q760" s="4">
        <v>58.8</v>
      </c>
      <c r="R760" s="4">
        <v>1.8</v>
      </c>
      <c r="S760" s="4">
        <v>26.49</v>
      </c>
      <c r="T760" s="5">
        <v>0.343</v>
      </c>
      <c r="U760" s="5">
        <v>10.29</v>
      </c>
      <c r="V760" s="5">
        <v>0.47</v>
      </c>
      <c r="W760" s="5">
        <v>14.1</v>
      </c>
      <c r="X760" s="4">
        <v>794.7</v>
      </c>
    </row>
    <row r="761" customHeight="1" spans="2:24">
      <c r="B761" s="6" t="str">
        <f t="shared" si="11"/>
        <v>43115-DT1EJ20250101-A-JIEU8018198-PARTS</v>
      </c>
      <c r="C761" t="s">
        <v>80</v>
      </c>
      <c r="D761" t="s">
        <v>81</v>
      </c>
      <c r="E761" t="s">
        <v>465</v>
      </c>
      <c r="F761" t="s">
        <v>466</v>
      </c>
      <c r="G761" s="1" t="s">
        <v>84</v>
      </c>
      <c r="I761" s="1" t="s">
        <v>85</v>
      </c>
      <c r="J761" s="1" t="s">
        <v>574</v>
      </c>
      <c r="K761" s="1" t="s">
        <v>581</v>
      </c>
      <c r="L761">
        <v>8302300009</v>
      </c>
      <c r="M761" s="2" t="s">
        <v>582</v>
      </c>
      <c r="N761" s="3" t="s">
        <v>583</v>
      </c>
      <c r="O761" s="1">
        <v>20</v>
      </c>
      <c r="P761" s="4">
        <v>15.32</v>
      </c>
      <c r="Q761" s="4">
        <v>24.6</v>
      </c>
      <c r="R761" s="4">
        <v>0.8</v>
      </c>
      <c r="S761" s="4">
        <v>16.59</v>
      </c>
      <c r="T761" s="5">
        <v>0.163</v>
      </c>
      <c r="U761" s="5">
        <v>3.26</v>
      </c>
      <c r="V761" s="5">
        <v>0.23</v>
      </c>
      <c r="W761" s="5">
        <v>4.6</v>
      </c>
      <c r="X761" s="4">
        <v>331.8</v>
      </c>
    </row>
    <row r="762" customHeight="1" spans="2:24">
      <c r="B762" s="6" t="str">
        <f t="shared" si="11"/>
        <v>43115-DT1EJ20250101-A-JIEU8018198-PARTS</v>
      </c>
      <c r="C762" t="s">
        <v>80</v>
      </c>
      <c r="D762" t="s">
        <v>81</v>
      </c>
      <c r="E762" t="s">
        <v>465</v>
      </c>
      <c r="F762" t="s">
        <v>466</v>
      </c>
      <c r="G762" s="1" t="s">
        <v>84</v>
      </c>
      <c r="I762" s="1" t="s">
        <v>85</v>
      </c>
      <c r="J762" s="1" t="s">
        <v>574</v>
      </c>
      <c r="K762" s="1" t="s">
        <v>581</v>
      </c>
      <c r="L762">
        <v>8302300009</v>
      </c>
      <c r="M762" s="2" t="s">
        <v>582</v>
      </c>
      <c r="N762" s="3" t="s">
        <v>583</v>
      </c>
      <c r="O762" s="1">
        <v>20</v>
      </c>
      <c r="P762" s="4">
        <v>15.32</v>
      </c>
      <c r="Q762" s="4">
        <v>24.6</v>
      </c>
      <c r="R762" s="4">
        <v>0.8</v>
      </c>
      <c r="S762" s="4">
        <v>16.59</v>
      </c>
      <c r="T762" s="5">
        <v>0.163</v>
      </c>
      <c r="U762" s="5">
        <v>3.26</v>
      </c>
      <c r="V762" s="5">
        <v>0.23</v>
      </c>
      <c r="W762" s="5">
        <v>4.6</v>
      </c>
      <c r="X762" s="4">
        <v>331.8</v>
      </c>
    </row>
    <row r="763" customHeight="1" spans="2:24">
      <c r="B763" s="6" t="str">
        <f t="shared" si="11"/>
        <v>43115-DT1EJ20250101-A-JIEU8018198-PARTS</v>
      </c>
      <c r="C763" t="s">
        <v>80</v>
      </c>
      <c r="D763" t="s">
        <v>81</v>
      </c>
      <c r="E763" t="s">
        <v>465</v>
      </c>
      <c r="F763" t="s">
        <v>466</v>
      </c>
      <c r="G763" s="1" t="s">
        <v>84</v>
      </c>
      <c r="I763" s="1" t="s">
        <v>85</v>
      </c>
      <c r="J763" s="1" t="s">
        <v>574</v>
      </c>
      <c r="K763" s="1" t="s">
        <v>581</v>
      </c>
      <c r="L763">
        <v>8302300009</v>
      </c>
      <c r="M763" s="2" t="s">
        <v>582</v>
      </c>
      <c r="N763" s="3" t="s">
        <v>583</v>
      </c>
      <c r="O763" s="1">
        <v>20</v>
      </c>
      <c r="P763" s="4">
        <v>15.32</v>
      </c>
      <c r="Q763" s="4">
        <v>24.6</v>
      </c>
      <c r="R763" s="4">
        <v>0.8</v>
      </c>
      <c r="S763" s="4">
        <v>16.59</v>
      </c>
      <c r="T763" s="5">
        <v>0.163</v>
      </c>
      <c r="U763" s="5">
        <v>3.26</v>
      </c>
      <c r="V763" s="5">
        <v>0.23</v>
      </c>
      <c r="W763" s="5">
        <v>4.6</v>
      </c>
      <c r="X763" s="4">
        <v>331.8</v>
      </c>
    </row>
    <row r="764" customHeight="1" spans="2:24">
      <c r="B764" s="6" t="str">
        <f t="shared" si="11"/>
        <v>43115-DT1EJ20250101-A-JIEU8018198-PARTS</v>
      </c>
      <c r="C764" t="s">
        <v>80</v>
      </c>
      <c r="D764" t="s">
        <v>81</v>
      </c>
      <c r="E764" t="s">
        <v>465</v>
      </c>
      <c r="F764" t="s">
        <v>466</v>
      </c>
      <c r="G764" s="1" t="s">
        <v>84</v>
      </c>
      <c r="I764" s="1" t="s">
        <v>85</v>
      </c>
      <c r="J764" s="1" t="s">
        <v>574</v>
      </c>
      <c r="K764" s="1" t="s">
        <v>581</v>
      </c>
      <c r="L764">
        <v>8302300009</v>
      </c>
      <c r="M764" s="2" t="s">
        <v>582</v>
      </c>
      <c r="N764" s="3" t="s">
        <v>583</v>
      </c>
      <c r="O764" s="1">
        <v>20</v>
      </c>
      <c r="P764" s="4">
        <v>15.32</v>
      </c>
      <c r="Q764" s="4">
        <v>24.6</v>
      </c>
      <c r="R764" s="4">
        <v>0.8</v>
      </c>
      <c r="S764" s="4">
        <v>16.59</v>
      </c>
      <c r="T764" s="5">
        <v>0.163</v>
      </c>
      <c r="U764" s="5">
        <v>3.26</v>
      </c>
      <c r="V764" s="5">
        <v>0.23</v>
      </c>
      <c r="W764" s="5">
        <v>4.6</v>
      </c>
      <c r="X764" s="4">
        <v>331.8</v>
      </c>
    </row>
    <row r="765" customHeight="1" spans="2:24">
      <c r="B765" s="6" t="str">
        <f t="shared" si="11"/>
        <v>43115-DT1EJ20250101-A-JIEU8018198-PARTS</v>
      </c>
      <c r="C765" t="s">
        <v>80</v>
      </c>
      <c r="D765" t="s">
        <v>81</v>
      </c>
      <c r="E765" t="s">
        <v>465</v>
      </c>
      <c r="F765" t="s">
        <v>466</v>
      </c>
      <c r="G765" s="1" t="s">
        <v>84</v>
      </c>
      <c r="I765" s="1" t="s">
        <v>85</v>
      </c>
      <c r="J765" s="1" t="s">
        <v>574</v>
      </c>
      <c r="K765" s="1" t="s">
        <v>581</v>
      </c>
      <c r="L765">
        <v>8302300009</v>
      </c>
      <c r="M765" s="2" t="s">
        <v>582</v>
      </c>
      <c r="N765" s="3" t="s">
        <v>583</v>
      </c>
      <c r="O765" s="1">
        <v>20</v>
      </c>
      <c r="P765" s="4">
        <v>15.32</v>
      </c>
      <c r="Q765" s="4">
        <v>24.6</v>
      </c>
      <c r="R765" s="4">
        <v>0.8</v>
      </c>
      <c r="S765" s="4">
        <v>16.59</v>
      </c>
      <c r="T765" s="5">
        <v>0.163</v>
      </c>
      <c r="U765" s="5">
        <v>3.26</v>
      </c>
      <c r="V765" s="5">
        <v>0.23</v>
      </c>
      <c r="W765" s="5">
        <v>4.6</v>
      </c>
      <c r="X765" s="4">
        <v>331.8</v>
      </c>
    </row>
    <row r="766" spans="2:24">
      <c r="B766" s="6" t="str">
        <f t="shared" si="11"/>
        <v>43115-DT1EJ20250101-A-JIEU8018198-PARTS</v>
      </c>
      <c r="C766" t="s">
        <v>80</v>
      </c>
      <c r="D766" t="s">
        <v>81</v>
      </c>
      <c r="E766" t="s">
        <v>465</v>
      </c>
      <c r="F766" t="s">
        <v>466</v>
      </c>
      <c r="G766" s="1" t="s">
        <v>84</v>
      </c>
      <c r="I766" s="1" t="s">
        <v>85</v>
      </c>
      <c r="J766" s="1" t="s">
        <v>574</v>
      </c>
      <c r="K766" s="1" t="s">
        <v>581</v>
      </c>
      <c r="L766">
        <v>8302300009</v>
      </c>
      <c r="M766" s="2" t="s">
        <v>582</v>
      </c>
      <c r="N766" s="3" t="s">
        <v>583</v>
      </c>
      <c r="O766" s="1">
        <v>20</v>
      </c>
      <c r="P766" s="4">
        <v>15.32</v>
      </c>
      <c r="Q766" s="4">
        <v>24.6</v>
      </c>
      <c r="R766" s="4">
        <v>0.8</v>
      </c>
      <c r="S766" s="4">
        <v>16.59</v>
      </c>
      <c r="T766" s="5">
        <v>0.163</v>
      </c>
      <c r="U766" s="5">
        <v>3.26</v>
      </c>
      <c r="V766" s="5">
        <v>0.23</v>
      </c>
      <c r="W766" s="5">
        <v>4.6</v>
      </c>
      <c r="X766" s="4">
        <v>331.8</v>
      </c>
    </row>
    <row r="767" customHeight="1" spans="2:24">
      <c r="B767" s="6" t="str">
        <f t="shared" si="11"/>
        <v>43115-DT1EJ20250101-A-JIEU8018198-PARTS</v>
      </c>
      <c r="C767" t="s">
        <v>80</v>
      </c>
      <c r="D767" t="s">
        <v>81</v>
      </c>
      <c r="E767" t="s">
        <v>465</v>
      </c>
      <c r="F767" t="s">
        <v>466</v>
      </c>
      <c r="G767" s="1" t="s">
        <v>84</v>
      </c>
      <c r="I767" s="1" t="s">
        <v>85</v>
      </c>
      <c r="J767" s="1" t="s">
        <v>574</v>
      </c>
      <c r="K767" s="1" t="s">
        <v>584</v>
      </c>
      <c r="L767">
        <v>8708299009</v>
      </c>
      <c r="M767" s="2" t="s">
        <v>585</v>
      </c>
      <c r="N767" s="3" t="s">
        <v>586</v>
      </c>
      <c r="O767" s="1">
        <v>60</v>
      </c>
      <c r="P767" s="4">
        <v>3.28</v>
      </c>
      <c r="Q767" s="4">
        <v>15.6</v>
      </c>
      <c r="R767" s="4">
        <v>0.6</v>
      </c>
      <c r="S767" s="4">
        <v>3.55</v>
      </c>
      <c r="T767" s="5">
        <v>0.08</v>
      </c>
      <c r="U767" s="5">
        <v>4.8</v>
      </c>
      <c r="V767" s="5">
        <v>0.11</v>
      </c>
      <c r="W767" s="5">
        <v>6.6</v>
      </c>
      <c r="X767" s="4">
        <v>213</v>
      </c>
    </row>
    <row r="768" customHeight="1" spans="2:24">
      <c r="B768" s="6" t="str">
        <f t="shared" si="11"/>
        <v>43115-DT1EJ20250101-A-JIEU8018198-PARTS</v>
      </c>
      <c r="C768" t="s">
        <v>80</v>
      </c>
      <c r="D768" t="s">
        <v>81</v>
      </c>
      <c r="E768" t="s">
        <v>465</v>
      </c>
      <c r="F768" t="s">
        <v>466</v>
      </c>
      <c r="G768" s="1" t="s">
        <v>84</v>
      </c>
      <c r="I768" s="1" t="s">
        <v>85</v>
      </c>
      <c r="J768" s="1" t="s">
        <v>574</v>
      </c>
      <c r="K768" s="1" t="s">
        <v>584</v>
      </c>
      <c r="L768">
        <v>8708299009</v>
      </c>
      <c r="M768" s="2" t="s">
        <v>585</v>
      </c>
      <c r="N768" s="3" t="s">
        <v>586</v>
      </c>
      <c r="O768" s="1">
        <v>60</v>
      </c>
      <c r="P768" s="4">
        <v>3.28</v>
      </c>
      <c r="Q768" s="4">
        <v>15.6</v>
      </c>
      <c r="R768" s="4">
        <v>0.6</v>
      </c>
      <c r="S768" s="4">
        <v>3.55</v>
      </c>
      <c r="T768" s="5">
        <v>0.08</v>
      </c>
      <c r="U768" s="5">
        <v>4.8</v>
      </c>
      <c r="V768" s="5">
        <v>0.11</v>
      </c>
      <c r="W768" s="5">
        <v>6.6</v>
      </c>
      <c r="X768" s="4">
        <v>213</v>
      </c>
    </row>
    <row r="769" customHeight="1" spans="2:28">
      <c r="B769" s="6" t="str">
        <f t="shared" si="11"/>
        <v>43115-DT1EJ20250101-A-JIEU8018198-PARTS</v>
      </c>
      <c r="C769" t="s">
        <v>80</v>
      </c>
      <c r="D769" t="s">
        <v>81</v>
      </c>
      <c r="E769" t="s">
        <v>465</v>
      </c>
      <c r="F769" t="s">
        <v>466</v>
      </c>
      <c r="G769" s="1" t="s">
        <v>84</v>
      </c>
      <c r="I769" s="1" t="s">
        <v>85</v>
      </c>
      <c r="J769" s="1" t="s">
        <v>574</v>
      </c>
      <c r="K769" s="1" t="s">
        <v>587</v>
      </c>
      <c r="L769">
        <v>8708299009</v>
      </c>
      <c r="M769" s="2" t="s">
        <v>588</v>
      </c>
      <c r="N769" s="3" t="s">
        <v>589</v>
      </c>
      <c r="O769" s="1">
        <v>60</v>
      </c>
      <c r="P769" s="4">
        <v>3.28</v>
      </c>
      <c r="Q769" s="4">
        <v>15.6</v>
      </c>
      <c r="R769" s="4">
        <v>0.6</v>
      </c>
      <c r="S769" s="4">
        <v>3.55</v>
      </c>
      <c r="T769" s="5">
        <v>0.08</v>
      </c>
      <c r="U769" s="5">
        <v>4.8</v>
      </c>
      <c r="V769" s="5">
        <v>0.11</v>
      </c>
      <c r="W769" s="5">
        <v>6.6</v>
      </c>
      <c r="X769" s="4">
        <v>213</v>
      </c>
    </row>
    <row r="770" customHeight="1" spans="2:28">
      <c r="B770" s="6" t="str">
        <f t="shared" ref="B770:B833" si="12">CONCATENATE(C770,"-",E770,"-",G770)</f>
        <v>43115-DT1EJ20250101-A-JIEU8018198-PARTS</v>
      </c>
      <c r="C770" t="s">
        <v>80</v>
      </c>
      <c r="D770" t="s">
        <v>81</v>
      </c>
      <c r="E770" t="s">
        <v>465</v>
      </c>
      <c r="F770" t="s">
        <v>466</v>
      </c>
      <c r="G770" s="1" t="s">
        <v>84</v>
      </c>
      <c r="I770" s="1" t="s">
        <v>85</v>
      </c>
      <c r="J770" s="1" t="s">
        <v>574</v>
      </c>
      <c r="K770" s="1" t="s">
        <v>587</v>
      </c>
      <c r="L770">
        <v>8708299009</v>
      </c>
      <c r="M770" s="2" t="s">
        <v>588</v>
      </c>
      <c r="N770" s="3" t="s">
        <v>589</v>
      </c>
      <c r="O770" s="1">
        <v>60</v>
      </c>
      <c r="P770" s="4">
        <v>3.28</v>
      </c>
      <c r="Q770" s="4">
        <v>15.6</v>
      </c>
      <c r="R770" s="4">
        <v>0.6</v>
      </c>
      <c r="S770" s="4">
        <v>3.55</v>
      </c>
      <c r="T770" s="5">
        <v>0.08</v>
      </c>
      <c r="U770" s="5">
        <v>4.8</v>
      </c>
      <c r="V770" s="5">
        <v>0.11</v>
      </c>
      <c r="W770" s="5">
        <v>6.6</v>
      </c>
      <c r="X770" s="4">
        <v>213</v>
      </c>
    </row>
    <row r="771" customHeight="1" spans="2:28">
      <c r="B771" s="6" t="str">
        <f t="shared" si="12"/>
        <v>43115-DT1EJ20250101-A-JIEU8018198-PARTS</v>
      </c>
      <c r="C771" t="s">
        <v>80</v>
      </c>
      <c r="D771" t="s">
        <v>81</v>
      </c>
      <c r="E771" t="s">
        <v>465</v>
      </c>
      <c r="F771" t="s">
        <v>466</v>
      </c>
      <c r="G771" s="1" t="s">
        <v>84</v>
      </c>
      <c r="I771" s="1" t="s">
        <v>85</v>
      </c>
      <c r="J771" s="1" t="s">
        <v>590</v>
      </c>
      <c r="K771" s="1" t="s">
        <v>591</v>
      </c>
      <c r="L771">
        <v>8481807900</v>
      </c>
      <c r="M771" s="2" t="s">
        <v>592</v>
      </c>
      <c r="N771" s="3" t="s">
        <v>593</v>
      </c>
      <c r="O771" s="1">
        <v>30</v>
      </c>
      <c r="P771" s="4">
        <v>48.53</v>
      </c>
      <c r="Q771" s="4">
        <v>116.7</v>
      </c>
      <c r="R771" s="4">
        <v>3.3</v>
      </c>
      <c r="S771" s="4">
        <v>52.53</v>
      </c>
      <c r="T771" s="5">
        <v>0.252</v>
      </c>
      <c r="U771" s="5">
        <v>7.56</v>
      </c>
      <c r="V771" s="5">
        <v>0.26</v>
      </c>
      <c r="W771" s="5">
        <v>7.8</v>
      </c>
      <c r="X771" s="4">
        <v>1575.9</v>
      </c>
      <c r="Y771">
        <v>2280</v>
      </c>
      <c r="Z771">
        <v>1180</v>
      </c>
      <c r="AA771">
        <v>1280</v>
      </c>
      <c r="AB771" s="1">
        <v>3.44</v>
      </c>
    </row>
    <row r="772" customHeight="1" spans="2:28">
      <c r="B772" s="6" t="str">
        <f t="shared" si="12"/>
        <v>43115-DT1EJ20250101-A-JIEU8018198-PARTS</v>
      </c>
      <c r="C772" t="s">
        <v>80</v>
      </c>
      <c r="D772" t="s">
        <v>81</v>
      </c>
      <c r="E772" t="s">
        <v>465</v>
      </c>
      <c r="F772" t="s">
        <v>466</v>
      </c>
      <c r="G772" s="1" t="s">
        <v>84</v>
      </c>
      <c r="I772" s="1" t="s">
        <v>85</v>
      </c>
      <c r="J772" s="1" t="s">
        <v>590</v>
      </c>
      <c r="K772" s="1" t="s">
        <v>591</v>
      </c>
      <c r="L772">
        <v>8481807900</v>
      </c>
      <c r="M772" s="2" t="s">
        <v>592</v>
      </c>
      <c r="N772" s="3" t="s">
        <v>593</v>
      </c>
      <c r="O772" s="1">
        <v>30</v>
      </c>
      <c r="P772" s="4">
        <v>48.53</v>
      </c>
      <c r="Q772" s="4">
        <v>116.7</v>
      </c>
      <c r="R772" s="4">
        <v>3.3</v>
      </c>
      <c r="S772" s="4">
        <v>52.53</v>
      </c>
      <c r="T772" s="5">
        <v>0.252</v>
      </c>
      <c r="U772" s="5">
        <v>7.56</v>
      </c>
      <c r="V772" s="5">
        <v>0.26</v>
      </c>
      <c r="W772" s="5">
        <v>7.8</v>
      </c>
      <c r="X772" s="4">
        <v>1575.9</v>
      </c>
    </row>
    <row r="773" customHeight="1" spans="2:28">
      <c r="B773" s="6" t="str">
        <f t="shared" si="12"/>
        <v>43115-DT1EJ20250101-A-JIEU8018198-PARTS</v>
      </c>
      <c r="C773" t="s">
        <v>80</v>
      </c>
      <c r="D773" t="s">
        <v>81</v>
      </c>
      <c r="E773" t="s">
        <v>465</v>
      </c>
      <c r="F773" t="s">
        <v>466</v>
      </c>
      <c r="G773" s="1" t="s">
        <v>84</v>
      </c>
      <c r="I773" s="1" t="s">
        <v>85</v>
      </c>
      <c r="J773" s="1" t="s">
        <v>590</v>
      </c>
      <c r="K773" s="1" t="s">
        <v>591</v>
      </c>
      <c r="L773">
        <v>8481807900</v>
      </c>
      <c r="M773" s="2" t="s">
        <v>592</v>
      </c>
      <c r="N773" s="3" t="s">
        <v>593</v>
      </c>
      <c r="O773" s="1">
        <v>30</v>
      </c>
      <c r="P773" s="4">
        <v>48.53</v>
      </c>
      <c r="Q773" s="4">
        <v>116.7</v>
      </c>
      <c r="R773" s="4">
        <v>3.3</v>
      </c>
      <c r="S773" s="4">
        <v>52.53</v>
      </c>
      <c r="T773" s="5">
        <v>0.252</v>
      </c>
      <c r="U773" s="5">
        <v>7.56</v>
      </c>
      <c r="V773" s="5">
        <v>0.26</v>
      </c>
      <c r="W773" s="5">
        <v>7.8</v>
      </c>
      <c r="X773" s="4">
        <v>1575.9</v>
      </c>
    </row>
    <row r="774" customHeight="1" spans="2:28">
      <c r="B774" s="6" t="str">
        <f t="shared" si="12"/>
        <v>43115-DT1EJ20250101-A-JIEU8018198-PARTS</v>
      </c>
      <c r="C774" t="s">
        <v>80</v>
      </c>
      <c r="D774" t="s">
        <v>81</v>
      </c>
      <c r="E774" t="s">
        <v>465</v>
      </c>
      <c r="F774" t="s">
        <v>466</v>
      </c>
      <c r="G774" s="1" t="s">
        <v>84</v>
      </c>
      <c r="I774" s="1" t="s">
        <v>85</v>
      </c>
      <c r="J774" s="1" t="s">
        <v>590</v>
      </c>
      <c r="K774" s="1" t="s">
        <v>591</v>
      </c>
      <c r="L774">
        <v>8481807900</v>
      </c>
      <c r="M774" s="2" t="s">
        <v>592</v>
      </c>
      <c r="N774" s="3" t="s">
        <v>593</v>
      </c>
      <c r="O774" s="1">
        <v>30</v>
      </c>
      <c r="P774" s="4">
        <v>48.53</v>
      </c>
      <c r="Q774" s="4">
        <v>116.7</v>
      </c>
      <c r="R774" s="4">
        <v>3.3</v>
      </c>
      <c r="S774" s="4">
        <v>52.53</v>
      </c>
      <c r="T774" s="5">
        <v>0.252</v>
      </c>
      <c r="U774" s="5">
        <v>7.56</v>
      </c>
      <c r="V774" s="5">
        <v>0.26</v>
      </c>
      <c r="W774" s="5">
        <v>7.8</v>
      </c>
      <c r="X774" s="4">
        <v>1575.9</v>
      </c>
    </row>
    <row r="775" customHeight="1" spans="2:28">
      <c r="B775" s="6" t="str">
        <f t="shared" si="12"/>
        <v>43115-DT1EJ20250101-A-JIEU8018198-PARTS</v>
      </c>
      <c r="C775" t="s">
        <v>80</v>
      </c>
      <c r="D775" t="s">
        <v>81</v>
      </c>
      <c r="E775" t="s">
        <v>465</v>
      </c>
      <c r="F775" t="s">
        <v>466</v>
      </c>
      <c r="G775" s="1" t="s">
        <v>84</v>
      </c>
      <c r="I775" s="1" t="s">
        <v>85</v>
      </c>
      <c r="J775" s="1" t="s">
        <v>590</v>
      </c>
      <c r="K775" s="1" t="s">
        <v>594</v>
      </c>
      <c r="L775">
        <v>8708999709</v>
      </c>
      <c r="M775" s="2" t="s">
        <v>595</v>
      </c>
      <c r="N775" s="3" t="s">
        <v>596</v>
      </c>
      <c r="O775" s="1">
        <v>20</v>
      </c>
      <c r="P775" s="4">
        <v>40.68</v>
      </c>
      <c r="Q775" s="4">
        <v>65.2</v>
      </c>
      <c r="R775" s="4">
        <v>1.8</v>
      </c>
      <c r="S775" s="4">
        <v>44.03</v>
      </c>
      <c r="T775" s="5">
        <v>1.062</v>
      </c>
      <c r="U775" s="5">
        <v>21.24</v>
      </c>
      <c r="V775" s="5">
        <v>1.09</v>
      </c>
      <c r="W775" s="5">
        <v>21.8</v>
      </c>
      <c r="X775" s="4">
        <v>880.6</v>
      </c>
    </row>
    <row r="776" customHeight="1" spans="2:28">
      <c r="B776" s="6" t="str">
        <f t="shared" si="12"/>
        <v>43115-DT1EJ20250101-A-JIEU8018198-PARTS</v>
      </c>
      <c r="C776" t="s">
        <v>80</v>
      </c>
      <c r="D776" t="s">
        <v>81</v>
      </c>
      <c r="E776" t="s">
        <v>465</v>
      </c>
      <c r="F776" t="s">
        <v>466</v>
      </c>
      <c r="G776" s="1" t="s">
        <v>84</v>
      </c>
      <c r="I776" s="1" t="s">
        <v>85</v>
      </c>
      <c r="J776" s="1" t="s">
        <v>590</v>
      </c>
      <c r="K776" s="1" t="s">
        <v>594</v>
      </c>
      <c r="L776">
        <v>8708999709</v>
      </c>
      <c r="M776" s="2" t="s">
        <v>595</v>
      </c>
      <c r="N776" s="3" t="s">
        <v>596</v>
      </c>
      <c r="O776" s="1">
        <v>20</v>
      </c>
      <c r="P776" s="4">
        <v>40.68</v>
      </c>
      <c r="Q776" s="4">
        <v>65.2</v>
      </c>
      <c r="R776" s="4">
        <v>1.8</v>
      </c>
      <c r="S776" s="4">
        <v>44.03</v>
      </c>
      <c r="T776" s="5">
        <v>1.062</v>
      </c>
      <c r="U776" s="5">
        <v>21.24</v>
      </c>
      <c r="V776" s="5">
        <v>1.09</v>
      </c>
      <c r="W776" s="5">
        <v>21.8</v>
      </c>
      <c r="X776" s="4">
        <v>880.6</v>
      </c>
    </row>
    <row r="777" customHeight="1" spans="2:28">
      <c r="B777" s="6" t="str">
        <f t="shared" si="12"/>
        <v>43115-DT1EJ20250101-A-JIEU8018198-PARTS</v>
      </c>
      <c r="C777" t="s">
        <v>80</v>
      </c>
      <c r="D777" t="s">
        <v>81</v>
      </c>
      <c r="E777" t="s">
        <v>465</v>
      </c>
      <c r="F777" t="s">
        <v>466</v>
      </c>
      <c r="G777" s="1" t="s">
        <v>84</v>
      </c>
      <c r="I777" s="1" t="s">
        <v>85</v>
      </c>
      <c r="J777" s="1" t="s">
        <v>590</v>
      </c>
      <c r="K777" s="1" t="s">
        <v>594</v>
      </c>
      <c r="L777">
        <v>8708999709</v>
      </c>
      <c r="M777" s="2" t="s">
        <v>595</v>
      </c>
      <c r="N777" s="3" t="s">
        <v>596</v>
      </c>
      <c r="O777" s="1">
        <v>20</v>
      </c>
      <c r="P777" s="4">
        <v>40.68</v>
      </c>
      <c r="Q777" s="4">
        <v>65.2</v>
      </c>
      <c r="R777" s="4">
        <v>1.8</v>
      </c>
      <c r="S777" s="4">
        <v>44.03</v>
      </c>
      <c r="T777" s="5">
        <v>1.062</v>
      </c>
      <c r="U777" s="5">
        <v>21.24</v>
      </c>
      <c r="V777" s="5">
        <v>1.09</v>
      </c>
      <c r="W777" s="5">
        <v>21.8</v>
      </c>
      <c r="X777" s="4">
        <v>880.6</v>
      </c>
    </row>
    <row r="778" customHeight="1" spans="2:28">
      <c r="B778" s="6" t="str">
        <f t="shared" si="12"/>
        <v>43115-DT1EJ20250101-A-JIEU8018198-PARTS</v>
      </c>
      <c r="C778" t="s">
        <v>80</v>
      </c>
      <c r="D778" t="s">
        <v>81</v>
      </c>
      <c r="E778" t="s">
        <v>465</v>
      </c>
      <c r="F778" t="s">
        <v>466</v>
      </c>
      <c r="G778" s="1" t="s">
        <v>84</v>
      </c>
      <c r="I778" s="1" t="s">
        <v>85</v>
      </c>
      <c r="J778" s="1" t="s">
        <v>590</v>
      </c>
      <c r="K778" s="1" t="s">
        <v>594</v>
      </c>
      <c r="L778">
        <v>8708999709</v>
      </c>
      <c r="M778" s="2" t="s">
        <v>595</v>
      </c>
      <c r="N778" s="3" t="s">
        <v>596</v>
      </c>
      <c r="O778" s="1">
        <v>20</v>
      </c>
      <c r="P778" s="4">
        <v>40.68</v>
      </c>
      <c r="Q778" s="4">
        <v>65.2</v>
      </c>
      <c r="R778" s="4">
        <v>1.8</v>
      </c>
      <c r="S778" s="4">
        <v>44.03</v>
      </c>
      <c r="T778" s="5">
        <v>1.062</v>
      </c>
      <c r="U778" s="5">
        <v>21.24</v>
      </c>
      <c r="V778" s="5">
        <v>1.09</v>
      </c>
      <c r="W778" s="5">
        <v>21.8</v>
      </c>
      <c r="X778" s="4">
        <v>880.6</v>
      </c>
    </row>
    <row r="779" customHeight="1" spans="2:28">
      <c r="B779" s="6" t="str">
        <f t="shared" si="12"/>
        <v>43115-DT1EJ20250101-A-JIEU8018198-PARTS</v>
      </c>
      <c r="C779" t="s">
        <v>80</v>
      </c>
      <c r="D779" t="s">
        <v>81</v>
      </c>
      <c r="E779" t="s">
        <v>465</v>
      </c>
      <c r="F779" t="s">
        <v>466</v>
      </c>
      <c r="G779" s="1" t="s">
        <v>84</v>
      </c>
      <c r="I779" s="1" t="s">
        <v>85</v>
      </c>
      <c r="J779" s="1" t="s">
        <v>590</v>
      </c>
      <c r="K779" s="1" t="s">
        <v>594</v>
      </c>
      <c r="L779">
        <v>8708999709</v>
      </c>
      <c r="M779" s="2" t="s">
        <v>595</v>
      </c>
      <c r="N779" s="3" t="s">
        <v>596</v>
      </c>
      <c r="O779" s="1">
        <v>20</v>
      </c>
      <c r="P779" s="4">
        <v>40.68</v>
      </c>
      <c r="Q779" s="4">
        <v>65.2</v>
      </c>
      <c r="R779" s="4">
        <v>1.8</v>
      </c>
      <c r="S779" s="4">
        <v>44.03</v>
      </c>
      <c r="T779" s="5">
        <v>1.062</v>
      </c>
      <c r="U779" s="5">
        <v>21.24</v>
      </c>
      <c r="V779" s="5">
        <v>1.09</v>
      </c>
      <c r="W779" s="5">
        <v>21.8</v>
      </c>
      <c r="X779" s="4">
        <v>880.6</v>
      </c>
    </row>
    <row r="780" customHeight="1" spans="2:28">
      <c r="B780" s="6" t="str">
        <f t="shared" si="12"/>
        <v>43115-DT1EJ20250101-A-JIEU8018198-PARTS</v>
      </c>
      <c r="C780" t="s">
        <v>80</v>
      </c>
      <c r="D780" t="s">
        <v>81</v>
      </c>
      <c r="E780" t="s">
        <v>465</v>
      </c>
      <c r="F780" t="s">
        <v>466</v>
      </c>
      <c r="G780" s="1" t="s">
        <v>84</v>
      </c>
      <c r="I780" s="1" t="s">
        <v>85</v>
      </c>
      <c r="J780" s="1" t="s">
        <v>590</v>
      </c>
      <c r="K780" s="1" t="s">
        <v>594</v>
      </c>
      <c r="L780">
        <v>8708999709</v>
      </c>
      <c r="M780" s="2" t="s">
        <v>595</v>
      </c>
      <c r="N780" s="3" t="s">
        <v>596</v>
      </c>
      <c r="O780" s="1">
        <v>20</v>
      </c>
      <c r="P780" s="4">
        <v>40.68</v>
      </c>
      <c r="Q780" s="4">
        <v>65.2</v>
      </c>
      <c r="R780" s="4">
        <v>1.8</v>
      </c>
      <c r="S780" s="4">
        <v>44.03</v>
      </c>
      <c r="T780" s="5">
        <v>1.062</v>
      </c>
      <c r="U780" s="5">
        <v>21.24</v>
      </c>
      <c r="V780" s="5">
        <v>1.09</v>
      </c>
      <c r="W780" s="5">
        <v>21.8</v>
      </c>
      <c r="X780" s="4">
        <v>880.6</v>
      </c>
    </row>
    <row r="781" customHeight="1" spans="2:28">
      <c r="B781" s="6" t="str">
        <f t="shared" si="12"/>
        <v>43115-DT1EJ20250101-A-JIEU8018198-PARTS</v>
      </c>
      <c r="C781" t="s">
        <v>80</v>
      </c>
      <c r="D781" t="s">
        <v>81</v>
      </c>
      <c r="E781" t="s">
        <v>465</v>
      </c>
      <c r="F781" t="s">
        <v>466</v>
      </c>
      <c r="G781" s="1" t="s">
        <v>84</v>
      </c>
      <c r="I781" s="1" t="s">
        <v>85</v>
      </c>
      <c r="J781" s="1" t="s">
        <v>590</v>
      </c>
      <c r="K781" s="1" t="s">
        <v>565</v>
      </c>
      <c r="L781">
        <v>8708999709</v>
      </c>
      <c r="M781" s="2" t="s">
        <v>566</v>
      </c>
      <c r="N781" s="3" t="s">
        <v>567</v>
      </c>
      <c r="O781" s="1">
        <v>20</v>
      </c>
      <c r="P781" s="4">
        <v>63.11</v>
      </c>
      <c r="Q781" s="4">
        <v>101.2</v>
      </c>
      <c r="R781" s="4">
        <v>3</v>
      </c>
      <c r="S781" s="4">
        <v>68.32</v>
      </c>
      <c r="T781" s="5">
        <v>0.618</v>
      </c>
      <c r="U781" s="5">
        <v>12.36</v>
      </c>
      <c r="V781" s="5">
        <v>0.63</v>
      </c>
      <c r="W781" s="5">
        <v>12.6</v>
      </c>
      <c r="X781" s="4">
        <v>1366.4</v>
      </c>
    </row>
    <row r="782" customHeight="1" spans="2:28">
      <c r="B782" s="6" t="str">
        <f t="shared" si="12"/>
        <v>43115-DT1EJ20250101-A-JIEU8018198-PARTS</v>
      </c>
      <c r="C782" t="s">
        <v>80</v>
      </c>
      <c r="D782" t="s">
        <v>81</v>
      </c>
      <c r="E782" t="s">
        <v>465</v>
      </c>
      <c r="F782" t="s">
        <v>466</v>
      </c>
      <c r="G782" s="1" t="s">
        <v>84</v>
      </c>
      <c r="I782" s="1" t="s">
        <v>85</v>
      </c>
      <c r="J782" s="1" t="s">
        <v>590</v>
      </c>
      <c r="K782" s="1" t="s">
        <v>565</v>
      </c>
      <c r="L782">
        <v>8708999709</v>
      </c>
      <c r="M782" s="2" t="s">
        <v>566</v>
      </c>
      <c r="N782" s="3" t="s">
        <v>567</v>
      </c>
      <c r="O782" s="1">
        <v>20</v>
      </c>
      <c r="P782" s="4">
        <v>63.11</v>
      </c>
      <c r="Q782" s="4">
        <v>101.2</v>
      </c>
      <c r="R782" s="4">
        <v>3</v>
      </c>
      <c r="S782" s="4">
        <v>68.32</v>
      </c>
      <c r="T782" s="5">
        <v>0.618</v>
      </c>
      <c r="U782" s="5">
        <v>12.36</v>
      </c>
      <c r="V782" s="5">
        <v>0.63</v>
      </c>
      <c r="W782" s="5">
        <v>12.6</v>
      </c>
      <c r="X782" s="4">
        <v>1366.4</v>
      </c>
    </row>
    <row r="783" customHeight="1" spans="2:28">
      <c r="B783" s="6" t="str">
        <f t="shared" si="12"/>
        <v>43115-DT1EJ20250101-A-JIEU8018198-PARTS</v>
      </c>
      <c r="C783" t="s">
        <v>80</v>
      </c>
      <c r="D783" t="s">
        <v>81</v>
      </c>
      <c r="E783" t="s">
        <v>465</v>
      </c>
      <c r="F783" t="s">
        <v>466</v>
      </c>
      <c r="G783" s="1" t="s">
        <v>84</v>
      </c>
      <c r="I783" s="1" t="s">
        <v>85</v>
      </c>
      <c r="J783" s="1" t="s">
        <v>590</v>
      </c>
      <c r="K783" s="1" t="s">
        <v>565</v>
      </c>
      <c r="L783">
        <v>8708999709</v>
      </c>
      <c r="M783" s="2" t="s">
        <v>566</v>
      </c>
      <c r="N783" s="3" t="s">
        <v>567</v>
      </c>
      <c r="O783" s="1">
        <v>20</v>
      </c>
      <c r="P783" s="4">
        <v>63.11</v>
      </c>
      <c r="Q783" s="4">
        <v>101.2</v>
      </c>
      <c r="R783" s="4">
        <v>3</v>
      </c>
      <c r="S783" s="4">
        <v>68.32</v>
      </c>
      <c r="T783" s="5">
        <v>0.618</v>
      </c>
      <c r="U783" s="5">
        <v>12.36</v>
      </c>
      <c r="V783" s="5">
        <v>0.63</v>
      </c>
      <c r="W783" s="5">
        <v>12.6</v>
      </c>
      <c r="X783" s="4">
        <v>1366.4</v>
      </c>
    </row>
    <row r="784" customHeight="1" spans="2:28">
      <c r="B784" s="6" t="str">
        <f t="shared" si="12"/>
        <v>43115-DT1EJ20250101-A-JIEU8018198-PARTS</v>
      </c>
      <c r="C784" t="s">
        <v>80</v>
      </c>
      <c r="D784" t="s">
        <v>81</v>
      </c>
      <c r="E784" t="s">
        <v>465</v>
      </c>
      <c r="F784" t="s">
        <v>466</v>
      </c>
      <c r="G784" s="1" t="s">
        <v>84</v>
      </c>
      <c r="I784" s="1" t="s">
        <v>85</v>
      </c>
      <c r="J784" s="1" t="s">
        <v>590</v>
      </c>
      <c r="K784" s="1" t="s">
        <v>565</v>
      </c>
      <c r="L784">
        <v>8708999709</v>
      </c>
      <c r="M784" s="2" t="s">
        <v>566</v>
      </c>
      <c r="N784" s="3" t="s">
        <v>567</v>
      </c>
      <c r="O784" s="1">
        <v>20</v>
      </c>
      <c r="P784" s="4">
        <v>63.11</v>
      </c>
      <c r="Q784" s="4">
        <v>101.2</v>
      </c>
      <c r="R784" s="4">
        <v>3</v>
      </c>
      <c r="S784" s="4">
        <v>68.32</v>
      </c>
      <c r="T784" s="5">
        <v>0.618</v>
      </c>
      <c r="U784" s="5">
        <v>12.36</v>
      </c>
      <c r="V784" s="5">
        <v>0.63</v>
      </c>
      <c r="W784" s="5">
        <v>12.6</v>
      </c>
      <c r="X784" s="4">
        <v>1366.4</v>
      </c>
    </row>
    <row r="785" customHeight="1" spans="2:24">
      <c r="B785" s="6" t="str">
        <f t="shared" si="12"/>
        <v>43115-DT1EJ20250101-A-JIEU8018198-PARTS</v>
      </c>
      <c r="C785" t="s">
        <v>80</v>
      </c>
      <c r="D785" t="s">
        <v>81</v>
      </c>
      <c r="E785" t="s">
        <v>465</v>
      </c>
      <c r="F785" t="s">
        <v>466</v>
      </c>
      <c r="G785" s="1" t="s">
        <v>84</v>
      </c>
      <c r="I785" s="1" t="s">
        <v>85</v>
      </c>
      <c r="J785" s="1" t="s">
        <v>590</v>
      </c>
      <c r="K785" s="1" t="s">
        <v>597</v>
      </c>
      <c r="L785">
        <v>8421398006</v>
      </c>
      <c r="M785" s="2" t="s">
        <v>598</v>
      </c>
      <c r="N785" s="3" t="s">
        <v>599</v>
      </c>
      <c r="O785" s="1">
        <v>4</v>
      </c>
      <c r="P785" s="4">
        <v>140.03</v>
      </c>
      <c r="Q785" s="4">
        <v>44.88</v>
      </c>
      <c r="R785" s="4">
        <v>1.28</v>
      </c>
      <c r="S785" s="4">
        <v>151.57</v>
      </c>
      <c r="T785" s="5">
        <v>1.545</v>
      </c>
      <c r="U785" s="5">
        <v>6.18</v>
      </c>
      <c r="V785" s="5">
        <v>1.58</v>
      </c>
      <c r="W785" s="5">
        <v>6.32</v>
      </c>
      <c r="X785" s="4">
        <v>606.28</v>
      </c>
    </row>
    <row r="786" customHeight="1" spans="2:24">
      <c r="B786" s="6" t="str">
        <f t="shared" si="12"/>
        <v>43115-DT1EJ20250101-A-JIEU8018198-PARTS</v>
      </c>
      <c r="C786" t="s">
        <v>80</v>
      </c>
      <c r="D786" t="s">
        <v>81</v>
      </c>
      <c r="E786" t="s">
        <v>465</v>
      </c>
      <c r="F786" t="s">
        <v>466</v>
      </c>
      <c r="G786" s="1" t="s">
        <v>84</v>
      </c>
      <c r="I786" s="1" t="s">
        <v>85</v>
      </c>
      <c r="J786" s="1" t="s">
        <v>590</v>
      </c>
      <c r="K786" s="1" t="s">
        <v>597</v>
      </c>
      <c r="L786">
        <v>8421398006</v>
      </c>
      <c r="M786" s="2" t="s">
        <v>598</v>
      </c>
      <c r="N786" s="3" t="s">
        <v>599</v>
      </c>
      <c r="O786" s="1">
        <v>4</v>
      </c>
      <c r="P786" s="4">
        <v>140.03</v>
      </c>
      <c r="Q786" s="4">
        <v>44.88</v>
      </c>
      <c r="R786" s="4">
        <v>1.28</v>
      </c>
      <c r="S786" s="4">
        <v>151.57</v>
      </c>
      <c r="T786" s="5">
        <v>1.545</v>
      </c>
      <c r="U786" s="5">
        <v>6.18</v>
      </c>
      <c r="V786" s="5">
        <v>1.58</v>
      </c>
      <c r="W786" s="5">
        <v>6.32</v>
      </c>
      <c r="X786" s="4">
        <v>606.28</v>
      </c>
    </row>
    <row r="787" customHeight="1" spans="2:24">
      <c r="B787" s="6" t="str">
        <f t="shared" si="12"/>
        <v>43115-DT1EJ20250101-A-JIEU8018198-PARTS</v>
      </c>
      <c r="C787" t="s">
        <v>80</v>
      </c>
      <c r="D787" t="s">
        <v>81</v>
      </c>
      <c r="E787" t="s">
        <v>465</v>
      </c>
      <c r="F787" t="s">
        <v>466</v>
      </c>
      <c r="G787" s="1" t="s">
        <v>84</v>
      </c>
      <c r="I787" s="1" t="s">
        <v>85</v>
      </c>
      <c r="J787" s="1" t="s">
        <v>590</v>
      </c>
      <c r="K787" s="1" t="s">
        <v>597</v>
      </c>
      <c r="L787">
        <v>8421398006</v>
      </c>
      <c r="M787" s="2" t="s">
        <v>598</v>
      </c>
      <c r="N787" s="3" t="s">
        <v>599</v>
      </c>
      <c r="O787" s="1">
        <v>4</v>
      </c>
      <c r="P787" s="4">
        <v>140.03</v>
      </c>
      <c r="Q787" s="4">
        <v>44.88</v>
      </c>
      <c r="R787" s="4">
        <v>1.28</v>
      </c>
      <c r="S787" s="4">
        <v>151.57</v>
      </c>
      <c r="T787" s="5">
        <v>1.545</v>
      </c>
      <c r="U787" s="5">
        <v>6.18</v>
      </c>
      <c r="V787" s="5">
        <v>1.58</v>
      </c>
      <c r="W787" s="5">
        <v>6.32</v>
      </c>
      <c r="X787" s="4">
        <v>606.28</v>
      </c>
    </row>
    <row r="788" customHeight="1" spans="2:24">
      <c r="B788" s="6" t="str">
        <f t="shared" si="12"/>
        <v>43115-DT1EJ20250101-A-JIEU8018198-PARTS</v>
      </c>
      <c r="C788" t="s">
        <v>80</v>
      </c>
      <c r="D788" t="s">
        <v>81</v>
      </c>
      <c r="E788" t="s">
        <v>465</v>
      </c>
      <c r="F788" t="s">
        <v>466</v>
      </c>
      <c r="G788" s="1" t="s">
        <v>84</v>
      </c>
      <c r="I788" s="1" t="s">
        <v>85</v>
      </c>
      <c r="J788" s="1" t="s">
        <v>590</v>
      </c>
      <c r="K788" s="1" t="s">
        <v>597</v>
      </c>
      <c r="L788">
        <v>8421398006</v>
      </c>
      <c r="M788" s="2" t="s">
        <v>598</v>
      </c>
      <c r="N788" s="3" t="s">
        <v>599</v>
      </c>
      <c r="O788" s="1">
        <v>4</v>
      </c>
      <c r="P788" s="4">
        <v>140.03</v>
      </c>
      <c r="Q788" s="4">
        <v>44.88</v>
      </c>
      <c r="R788" s="4">
        <v>1.28</v>
      </c>
      <c r="S788" s="4">
        <v>151.57</v>
      </c>
      <c r="T788" s="5">
        <v>1.545</v>
      </c>
      <c r="U788" s="5">
        <v>6.18</v>
      </c>
      <c r="V788" s="5">
        <v>1.58</v>
      </c>
      <c r="W788" s="5">
        <v>6.32</v>
      </c>
      <c r="X788" s="4">
        <v>606.28</v>
      </c>
    </row>
    <row r="789" customHeight="1" spans="2:24">
      <c r="B789" s="6" t="str">
        <f t="shared" si="12"/>
        <v>43115-DT1EJ20250101-A-JIEU8018198-PARTS</v>
      </c>
      <c r="C789" t="s">
        <v>80</v>
      </c>
      <c r="D789" t="s">
        <v>81</v>
      </c>
      <c r="E789" t="s">
        <v>465</v>
      </c>
      <c r="F789" t="s">
        <v>466</v>
      </c>
      <c r="G789" s="1" t="s">
        <v>84</v>
      </c>
      <c r="I789" s="1" t="s">
        <v>85</v>
      </c>
      <c r="J789" s="1" t="s">
        <v>590</v>
      </c>
      <c r="K789" s="1" t="s">
        <v>597</v>
      </c>
      <c r="L789">
        <v>8421398006</v>
      </c>
      <c r="M789" s="2" t="s">
        <v>598</v>
      </c>
      <c r="N789" s="3" t="s">
        <v>599</v>
      </c>
      <c r="O789" s="1">
        <v>4</v>
      </c>
      <c r="P789" s="4">
        <v>140.03</v>
      </c>
      <c r="Q789" s="4">
        <v>44.88</v>
      </c>
      <c r="R789" s="4">
        <v>1.28</v>
      </c>
      <c r="S789" s="4">
        <v>151.57</v>
      </c>
      <c r="T789" s="5">
        <v>1.545</v>
      </c>
      <c r="U789" s="5">
        <v>6.18</v>
      </c>
      <c r="V789" s="5">
        <v>1.58</v>
      </c>
      <c r="W789" s="5">
        <v>6.32</v>
      </c>
      <c r="X789" s="4">
        <v>606.28</v>
      </c>
    </row>
    <row r="790" customHeight="1" spans="2:24">
      <c r="B790" s="6" t="str">
        <f t="shared" si="12"/>
        <v>43115-DT1EJ20250101-A-JIEU8018198-PARTS</v>
      </c>
      <c r="C790" t="s">
        <v>80</v>
      </c>
      <c r="D790" t="s">
        <v>81</v>
      </c>
      <c r="E790" t="s">
        <v>465</v>
      </c>
      <c r="F790" t="s">
        <v>466</v>
      </c>
      <c r="G790" s="1" t="s">
        <v>84</v>
      </c>
      <c r="I790" s="1" t="s">
        <v>85</v>
      </c>
      <c r="J790" s="1" t="s">
        <v>590</v>
      </c>
      <c r="K790" s="1" t="s">
        <v>597</v>
      </c>
      <c r="L790">
        <v>8421398006</v>
      </c>
      <c r="M790" s="2" t="s">
        <v>598</v>
      </c>
      <c r="N790" s="3" t="s">
        <v>599</v>
      </c>
      <c r="O790" s="1">
        <v>4</v>
      </c>
      <c r="P790" s="4">
        <v>140.03</v>
      </c>
      <c r="Q790" s="4">
        <v>44.88</v>
      </c>
      <c r="R790" s="4">
        <v>1.28</v>
      </c>
      <c r="S790" s="4">
        <v>151.57</v>
      </c>
      <c r="T790" s="5">
        <v>1.545</v>
      </c>
      <c r="U790" s="5">
        <v>6.18</v>
      </c>
      <c r="V790" s="5">
        <v>1.58</v>
      </c>
      <c r="W790" s="5">
        <v>6.32</v>
      </c>
      <c r="X790" s="4">
        <v>606.28</v>
      </c>
    </row>
    <row r="791" customHeight="1" spans="2:24">
      <c r="B791" s="6" t="str">
        <f t="shared" si="12"/>
        <v>43115-DT1EJ20250101-A-JIEU8018198-PARTS</v>
      </c>
      <c r="C791" t="s">
        <v>80</v>
      </c>
      <c r="D791" t="s">
        <v>81</v>
      </c>
      <c r="E791" t="s">
        <v>465</v>
      </c>
      <c r="F791" t="s">
        <v>466</v>
      </c>
      <c r="G791" s="1" t="s">
        <v>84</v>
      </c>
      <c r="I791" s="1" t="s">
        <v>85</v>
      </c>
      <c r="J791" s="1" t="s">
        <v>590</v>
      </c>
      <c r="K791" s="1" t="s">
        <v>597</v>
      </c>
      <c r="L791">
        <v>8421398006</v>
      </c>
      <c r="M791" s="2" t="s">
        <v>598</v>
      </c>
      <c r="N791" s="3" t="s">
        <v>599</v>
      </c>
      <c r="O791" s="1">
        <v>4</v>
      </c>
      <c r="P791" s="4">
        <v>140.03</v>
      </c>
      <c r="Q791" s="4">
        <v>44.88</v>
      </c>
      <c r="R791" s="4">
        <v>1.28</v>
      </c>
      <c r="S791" s="4">
        <v>151.57</v>
      </c>
      <c r="T791" s="5">
        <v>1.545</v>
      </c>
      <c r="U791" s="5">
        <v>6.18</v>
      </c>
      <c r="V791" s="5">
        <v>1.58</v>
      </c>
      <c r="W791" s="5">
        <v>6.32</v>
      </c>
      <c r="X791" s="4">
        <v>606.28</v>
      </c>
    </row>
    <row r="792" customHeight="1" spans="2:24">
      <c r="B792" s="6" t="str">
        <f t="shared" si="12"/>
        <v>43115-DT1EJ20250101-A-JIEU8018198-PARTS</v>
      </c>
      <c r="C792" t="s">
        <v>80</v>
      </c>
      <c r="D792" t="s">
        <v>81</v>
      </c>
      <c r="E792" t="s">
        <v>465</v>
      </c>
      <c r="F792" t="s">
        <v>466</v>
      </c>
      <c r="G792" s="1" t="s">
        <v>84</v>
      </c>
      <c r="I792" s="1" t="s">
        <v>85</v>
      </c>
      <c r="J792" s="1" t="s">
        <v>590</v>
      </c>
      <c r="K792" s="1" t="s">
        <v>597</v>
      </c>
      <c r="L792">
        <v>8421398006</v>
      </c>
      <c r="M792" s="2" t="s">
        <v>598</v>
      </c>
      <c r="N792" s="3" t="s">
        <v>599</v>
      </c>
      <c r="O792" s="1">
        <v>4</v>
      </c>
      <c r="P792" s="4">
        <v>140.03</v>
      </c>
      <c r="Q792" s="4">
        <v>44.88</v>
      </c>
      <c r="R792" s="4">
        <v>1.28</v>
      </c>
      <c r="S792" s="4">
        <v>151.57</v>
      </c>
      <c r="T792" s="5">
        <v>1.545</v>
      </c>
      <c r="U792" s="5">
        <v>6.18</v>
      </c>
      <c r="V792" s="5">
        <v>1.58</v>
      </c>
      <c r="W792" s="5">
        <v>6.32</v>
      </c>
      <c r="X792" s="4">
        <v>606.28</v>
      </c>
    </row>
    <row r="793" customHeight="1" spans="2:24">
      <c r="B793" s="6" t="str">
        <f t="shared" si="12"/>
        <v>43115-DT1EJ20250101-A-JIEU8018198-PARTS</v>
      </c>
      <c r="C793" t="s">
        <v>80</v>
      </c>
      <c r="D793" t="s">
        <v>81</v>
      </c>
      <c r="E793" t="s">
        <v>465</v>
      </c>
      <c r="F793" t="s">
        <v>466</v>
      </c>
      <c r="G793" s="1" t="s">
        <v>84</v>
      </c>
      <c r="I793" s="1" t="s">
        <v>85</v>
      </c>
      <c r="J793" s="1" t="s">
        <v>590</v>
      </c>
      <c r="K793" s="1" t="s">
        <v>597</v>
      </c>
      <c r="L793">
        <v>8421398006</v>
      </c>
      <c r="M793" s="2" t="s">
        <v>598</v>
      </c>
      <c r="N793" s="3" t="s">
        <v>599</v>
      </c>
      <c r="O793" s="1">
        <v>4</v>
      </c>
      <c r="P793" s="4">
        <v>140.03</v>
      </c>
      <c r="Q793" s="4">
        <v>44.88</v>
      </c>
      <c r="R793" s="4">
        <v>1.28</v>
      </c>
      <c r="S793" s="4">
        <v>151.57</v>
      </c>
      <c r="T793" s="5">
        <v>1.545</v>
      </c>
      <c r="U793" s="5">
        <v>6.18</v>
      </c>
      <c r="V793" s="5">
        <v>1.58</v>
      </c>
      <c r="W793" s="5">
        <v>6.32</v>
      </c>
      <c r="X793" s="4">
        <v>606.28</v>
      </c>
    </row>
    <row r="794" customHeight="1" spans="2:24">
      <c r="B794" s="6" t="str">
        <f t="shared" si="12"/>
        <v>43115-DT1EJ20250101-A-JIEU8018198-PARTS</v>
      </c>
      <c r="C794" t="s">
        <v>80</v>
      </c>
      <c r="D794" t="s">
        <v>81</v>
      </c>
      <c r="E794" t="s">
        <v>465</v>
      </c>
      <c r="F794" t="s">
        <v>466</v>
      </c>
      <c r="G794" s="1" t="s">
        <v>84</v>
      </c>
      <c r="I794" s="1" t="s">
        <v>85</v>
      </c>
      <c r="J794" s="1" t="s">
        <v>590</v>
      </c>
      <c r="K794" s="1" t="s">
        <v>597</v>
      </c>
      <c r="L794">
        <v>8421398006</v>
      </c>
      <c r="M794" s="2" t="s">
        <v>598</v>
      </c>
      <c r="N794" s="3" t="s">
        <v>599</v>
      </c>
      <c r="O794" s="1">
        <v>4</v>
      </c>
      <c r="P794" s="4">
        <v>140.03</v>
      </c>
      <c r="Q794" s="4">
        <v>44.88</v>
      </c>
      <c r="R794" s="4">
        <v>1.28</v>
      </c>
      <c r="S794" s="4">
        <v>151.57</v>
      </c>
      <c r="T794" s="5">
        <v>1.545</v>
      </c>
      <c r="U794" s="5">
        <v>6.18</v>
      </c>
      <c r="V794" s="5">
        <v>1.58</v>
      </c>
      <c r="W794" s="5">
        <v>6.32</v>
      </c>
      <c r="X794" s="4">
        <v>606.28</v>
      </c>
    </row>
    <row r="795" customHeight="1" spans="2:24">
      <c r="B795" s="6" t="str">
        <f t="shared" si="12"/>
        <v>43115-DT1EJ20250101-A-JIEU8018198-PARTS</v>
      </c>
      <c r="C795" t="s">
        <v>80</v>
      </c>
      <c r="D795" t="s">
        <v>81</v>
      </c>
      <c r="E795" t="s">
        <v>465</v>
      </c>
      <c r="F795" t="s">
        <v>466</v>
      </c>
      <c r="G795" s="1" t="s">
        <v>84</v>
      </c>
      <c r="I795" s="1" t="s">
        <v>85</v>
      </c>
      <c r="J795" s="1" t="s">
        <v>590</v>
      </c>
      <c r="K795" s="1" t="s">
        <v>597</v>
      </c>
      <c r="L795">
        <v>8421398006</v>
      </c>
      <c r="M795" s="2" t="s">
        <v>598</v>
      </c>
      <c r="N795" s="3" t="s">
        <v>599</v>
      </c>
      <c r="O795" s="1">
        <v>4</v>
      </c>
      <c r="P795" s="4">
        <v>140.03</v>
      </c>
      <c r="Q795" s="4">
        <v>44.88</v>
      </c>
      <c r="R795" s="4">
        <v>1.28</v>
      </c>
      <c r="S795" s="4">
        <v>151.57</v>
      </c>
      <c r="T795" s="5">
        <v>1.545</v>
      </c>
      <c r="U795" s="5">
        <v>6.18</v>
      </c>
      <c r="V795" s="5">
        <v>1.58</v>
      </c>
      <c r="W795" s="5">
        <v>6.32</v>
      </c>
      <c r="X795" s="4">
        <v>606.28</v>
      </c>
    </row>
    <row r="796" customHeight="1" spans="2:24">
      <c r="B796" s="6" t="str">
        <f t="shared" si="12"/>
        <v>43115-DT1EJ20250101-A-JIEU8018198-PARTS</v>
      </c>
      <c r="C796" t="s">
        <v>80</v>
      </c>
      <c r="D796" t="s">
        <v>81</v>
      </c>
      <c r="E796" t="s">
        <v>465</v>
      </c>
      <c r="F796" t="s">
        <v>466</v>
      </c>
      <c r="G796" s="1" t="s">
        <v>84</v>
      </c>
      <c r="I796" s="1" t="s">
        <v>85</v>
      </c>
      <c r="J796" s="1" t="s">
        <v>590</v>
      </c>
      <c r="K796" s="1" t="s">
        <v>597</v>
      </c>
      <c r="L796">
        <v>8421398006</v>
      </c>
      <c r="M796" s="2" t="s">
        <v>598</v>
      </c>
      <c r="N796" s="3" t="s">
        <v>599</v>
      </c>
      <c r="O796" s="1">
        <v>4</v>
      </c>
      <c r="P796" s="4">
        <v>140.03</v>
      </c>
      <c r="Q796" s="4">
        <v>44.88</v>
      </c>
      <c r="R796" s="4">
        <v>1.28</v>
      </c>
      <c r="S796" s="4">
        <v>151.57</v>
      </c>
      <c r="T796" s="5">
        <v>1.545</v>
      </c>
      <c r="U796" s="5">
        <v>6.18</v>
      </c>
      <c r="V796" s="5">
        <v>1.58</v>
      </c>
      <c r="W796" s="5">
        <v>6.32</v>
      </c>
      <c r="X796" s="4">
        <v>606.28</v>
      </c>
    </row>
    <row r="797" customHeight="1" spans="2:24">
      <c r="B797" s="6" t="str">
        <f t="shared" si="12"/>
        <v>43115-DT1EJ20250101-A-JIEU8018198-PARTS</v>
      </c>
      <c r="C797" t="s">
        <v>80</v>
      </c>
      <c r="D797" t="s">
        <v>81</v>
      </c>
      <c r="E797" t="s">
        <v>465</v>
      </c>
      <c r="F797" t="s">
        <v>466</v>
      </c>
      <c r="G797" s="1" t="s">
        <v>84</v>
      </c>
      <c r="I797" s="1" t="s">
        <v>85</v>
      </c>
      <c r="J797" s="1" t="s">
        <v>590</v>
      </c>
      <c r="K797" s="1" t="s">
        <v>597</v>
      </c>
      <c r="L797">
        <v>8421398006</v>
      </c>
      <c r="M797" s="2" t="s">
        <v>598</v>
      </c>
      <c r="N797" s="3" t="s">
        <v>599</v>
      </c>
      <c r="O797" s="1">
        <v>4</v>
      </c>
      <c r="P797" s="4">
        <v>140.03</v>
      </c>
      <c r="Q797" s="4">
        <v>44.88</v>
      </c>
      <c r="R797" s="4">
        <v>1.28</v>
      </c>
      <c r="S797" s="4">
        <v>151.57</v>
      </c>
      <c r="T797" s="5">
        <v>1.545</v>
      </c>
      <c r="U797" s="5">
        <v>6.18</v>
      </c>
      <c r="V797" s="5">
        <v>1.58</v>
      </c>
      <c r="W797" s="5">
        <v>6.32</v>
      </c>
      <c r="X797" s="4">
        <v>606.28</v>
      </c>
    </row>
    <row r="798" customHeight="1" spans="2:24">
      <c r="B798" s="6" t="str">
        <f t="shared" si="12"/>
        <v>43115-DT1EJ20250101-A-JIEU8018198-PARTS</v>
      </c>
      <c r="C798" t="s">
        <v>80</v>
      </c>
      <c r="D798" t="s">
        <v>81</v>
      </c>
      <c r="E798" t="s">
        <v>465</v>
      </c>
      <c r="F798" t="s">
        <v>466</v>
      </c>
      <c r="G798" s="1" t="s">
        <v>84</v>
      </c>
      <c r="I798" s="1" t="s">
        <v>85</v>
      </c>
      <c r="J798" s="1" t="s">
        <v>590</v>
      </c>
      <c r="K798" s="1" t="s">
        <v>597</v>
      </c>
      <c r="L798">
        <v>8421398006</v>
      </c>
      <c r="M798" s="2" t="s">
        <v>598</v>
      </c>
      <c r="N798" s="3" t="s">
        <v>599</v>
      </c>
      <c r="O798" s="1">
        <v>4</v>
      </c>
      <c r="P798" s="4">
        <v>140.03</v>
      </c>
      <c r="Q798" s="4">
        <v>44.88</v>
      </c>
      <c r="R798" s="4">
        <v>1.28</v>
      </c>
      <c r="S798" s="4">
        <v>151.57</v>
      </c>
      <c r="T798" s="5">
        <v>1.545</v>
      </c>
      <c r="U798" s="5">
        <v>6.18</v>
      </c>
      <c r="V798" s="5">
        <v>1.58</v>
      </c>
      <c r="W798" s="5">
        <v>6.32</v>
      </c>
      <c r="X798" s="4">
        <v>606.28</v>
      </c>
    </row>
    <row r="799" customHeight="1" spans="2:24">
      <c r="B799" s="6" t="str">
        <f t="shared" si="12"/>
        <v>43115-DT1EJ20250101-A-JIEU8018198-PARTS</v>
      </c>
      <c r="C799" t="s">
        <v>80</v>
      </c>
      <c r="D799" t="s">
        <v>81</v>
      </c>
      <c r="E799" t="s">
        <v>465</v>
      </c>
      <c r="F799" t="s">
        <v>466</v>
      </c>
      <c r="G799" s="1" t="s">
        <v>84</v>
      </c>
      <c r="I799" s="1" t="s">
        <v>85</v>
      </c>
      <c r="J799" s="1" t="s">
        <v>590</v>
      </c>
      <c r="K799" s="1" t="s">
        <v>597</v>
      </c>
      <c r="L799">
        <v>8421398006</v>
      </c>
      <c r="M799" s="2" t="s">
        <v>598</v>
      </c>
      <c r="N799" s="3" t="s">
        <v>599</v>
      </c>
      <c r="O799" s="1">
        <v>4</v>
      </c>
      <c r="P799" s="4">
        <v>140.03</v>
      </c>
      <c r="Q799" s="4">
        <v>44.88</v>
      </c>
      <c r="R799" s="4">
        <v>1.28</v>
      </c>
      <c r="S799" s="4">
        <v>151.57</v>
      </c>
      <c r="T799" s="5">
        <v>1.545</v>
      </c>
      <c r="U799" s="5">
        <v>6.18</v>
      </c>
      <c r="V799" s="5">
        <v>1.58</v>
      </c>
      <c r="W799" s="5">
        <v>6.32</v>
      </c>
      <c r="X799" s="4">
        <v>606.28</v>
      </c>
    </row>
    <row r="800" customHeight="1" spans="2:24">
      <c r="B800" s="6" t="str">
        <f t="shared" si="12"/>
        <v>43115-DT1EJ20250101-A-JIEU8018198-PARTS</v>
      </c>
      <c r="C800" t="s">
        <v>80</v>
      </c>
      <c r="D800" t="s">
        <v>81</v>
      </c>
      <c r="E800" t="s">
        <v>465</v>
      </c>
      <c r="F800" t="s">
        <v>466</v>
      </c>
      <c r="G800" s="1" t="s">
        <v>84</v>
      </c>
      <c r="I800" s="1" t="s">
        <v>85</v>
      </c>
      <c r="J800" s="1" t="s">
        <v>590</v>
      </c>
      <c r="K800" s="1" t="s">
        <v>597</v>
      </c>
      <c r="L800">
        <v>8421398006</v>
      </c>
      <c r="M800" s="2" t="s">
        <v>598</v>
      </c>
      <c r="N800" s="3" t="s">
        <v>599</v>
      </c>
      <c r="O800" s="1">
        <v>4</v>
      </c>
      <c r="P800" s="4">
        <v>140.03</v>
      </c>
      <c r="Q800" s="4">
        <v>44.88</v>
      </c>
      <c r="R800" s="4">
        <v>1.28</v>
      </c>
      <c r="S800" s="4">
        <v>151.57</v>
      </c>
      <c r="T800" s="5">
        <v>1.545</v>
      </c>
      <c r="U800" s="5">
        <v>6.18</v>
      </c>
      <c r="V800" s="5">
        <v>1.58</v>
      </c>
      <c r="W800" s="5">
        <v>6.32</v>
      </c>
      <c r="X800" s="4">
        <v>606.28</v>
      </c>
    </row>
    <row r="801" customHeight="1" spans="2:28">
      <c r="B801" s="6" t="str">
        <f t="shared" si="12"/>
        <v>43115-DT1EJ20250101-A-JIEU8018198-PARTS</v>
      </c>
      <c r="C801" t="s">
        <v>80</v>
      </c>
      <c r="D801" t="s">
        <v>81</v>
      </c>
      <c r="E801" t="s">
        <v>465</v>
      </c>
      <c r="F801" t="s">
        <v>466</v>
      </c>
      <c r="G801" s="1" t="s">
        <v>84</v>
      </c>
      <c r="I801" s="1" t="s">
        <v>85</v>
      </c>
      <c r="J801" s="1" t="s">
        <v>590</v>
      </c>
      <c r="K801" s="1" t="s">
        <v>597</v>
      </c>
      <c r="L801">
        <v>8421398006</v>
      </c>
      <c r="M801" s="2" t="s">
        <v>598</v>
      </c>
      <c r="N801" s="3" t="s">
        <v>599</v>
      </c>
      <c r="O801" s="1">
        <v>4</v>
      </c>
      <c r="P801" s="4">
        <v>140.03</v>
      </c>
      <c r="Q801" s="4">
        <v>44.88</v>
      </c>
      <c r="R801" s="4">
        <v>1.28</v>
      </c>
      <c r="S801" s="4">
        <v>151.57</v>
      </c>
      <c r="T801" s="5">
        <v>1.545</v>
      </c>
      <c r="U801" s="5">
        <v>6.18</v>
      </c>
      <c r="V801" s="5">
        <v>1.58</v>
      </c>
      <c r="W801" s="5">
        <v>6.32</v>
      </c>
      <c r="X801" s="4">
        <v>606.28</v>
      </c>
    </row>
    <row r="802" customHeight="1" spans="2:28">
      <c r="B802" s="6" t="str">
        <f t="shared" si="12"/>
        <v>43115-DT1EJ20250101-A-JIEU8018198-PARTS</v>
      </c>
      <c r="C802" t="s">
        <v>80</v>
      </c>
      <c r="D802" t="s">
        <v>81</v>
      </c>
      <c r="E802" t="s">
        <v>465</v>
      </c>
      <c r="F802" t="s">
        <v>466</v>
      </c>
      <c r="G802" s="1" t="s">
        <v>84</v>
      </c>
      <c r="I802" s="1" t="s">
        <v>85</v>
      </c>
      <c r="J802" s="1" t="s">
        <v>590</v>
      </c>
      <c r="K802" s="1" t="s">
        <v>597</v>
      </c>
      <c r="L802">
        <v>8421398006</v>
      </c>
      <c r="M802" s="2" t="s">
        <v>598</v>
      </c>
      <c r="N802" s="3" t="s">
        <v>599</v>
      </c>
      <c r="O802" s="1">
        <v>4</v>
      </c>
      <c r="P802" s="4">
        <v>140.03</v>
      </c>
      <c r="Q802" s="4">
        <v>44.88</v>
      </c>
      <c r="R802" s="4">
        <v>1.28</v>
      </c>
      <c r="S802" s="4">
        <v>151.57</v>
      </c>
      <c r="T802" s="5">
        <v>1.545</v>
      </c>
      <c r="U802" s="5">
        <v>6.18</v>
      </c>
      <c r="V802" s="5">
        <v>1.58</v>
      </c>
      <c r="W802" s="5">
        <v>6.32</v>
      </c>
      <c r="X802" s="4">
        <v>606.28</v>
      </c>
    </row>
    <row r="803" customHeight="1" spans="2:28">
      <c r="B803" s="6" t="str">
        <f t="shared" si="12"/>
        <v>43115-DT1EJ20250101-A-JIEU8018198-PARTS</v>
      </c>
      <c r="C803" t="s">
        <v>80</v>
      </c>
      <c r="D803" t="s">
        <v>81</v>
      </c>
      <c r="E803" t="s">
        <v>465</v>
      </c>
      <c r="F803" t="s">
        <v>466</v>
      </c>
      <c r="G803" s="1" t="s">
        <v>84</v>
      </c>
      <c r="I803" s="1" t="s">
        <v>85</v>
      </c>
      <c r="J803" s="1" t="s">
        <v>590</v>
      </c>
      <c r="K803" s="1" t="s">
        <v>597</v>
      </c>
      <c r="L803">
        <v>8421398006</v>
      </c>
      <c r="M803" s="2" t="s">
        <v>598</v>
      </c>
      <c r="N803" s="3" t="s">
        <v>599</v>
      </c>
      <c r="O803" s="1">
        <v>4</v>
      </c>
      <c r="P803" s="4">
        <v>140.03</v>
      </c>
      <c r="Q803" s="4">
        <v>44.88</v>
      </c>
      <c r="R803" s="4">
        <v>1.28</v>
      </c>
      <c r="S803" s="4">
        <v>151.57</v>
      </c>
      <c r="T803" s="5">
        <v>1.545</v>
      </c>
      <c r="U803" s="5">
        <v>6.18</v>
      </c>
      <c r="V803" s="5">
        <v>1.58</v>
      </c>
      <c r="W803" s="5">
        <v>6.32</v>
      </c>
      <c r="X803" s="4">
        <v>606.28</v>
      </c>
    </row>
    <row r="804" customHeight="1" spans="2:28">
      <c r="B804" s="6" t="str">
        <f t="shared" si="12"/>
        <v>43115-DT1EJ20250101-A-JIEU8018198-PARTS</v>
      </c>
      <c r="C804" t="s">
        <v>80</v>
      </c>
      <c r="D804" t="s">
        <v>81</v>
      </c>
      <c r="E804" t="s">
        <v>465</v>
      </c>
      <c r="F804" t="s">
        <v>466</v>
      </c>
      <c r="G804" s="1" t="s">
        <v>84</v>
      </c>
      <c r="I804" s="1" t="s">
        <v>85</v>
      </c>
      <c r="J804" s="1" t="s">
        <v>590</v>
      </c>
      <c r="K804" s="1" t="s">
        <v>597</v>
      </c>
      <c r="L804">
        <v>8421398006</v>
      </c>
      <c r="M804" s="2" t="s">
        <v>598</v>
      </c>
      <c r="N804" s="3" t="s">
        <v>599</v>
      </c>
      <c r="O804" s="1">
        <v>4</v>
      </c>
      <c r="P804" s="4">
        <v>140.03</v>
      </c>
      <c r="Q804" s="4">
        <v>44.88</v>
      </c>
      <c r="R804" s="4">
        <v>1.28</v>
      </c>
      <c r="S804" s="4">
        <v>151.57</v>
      </c>
      <c r="T804" s="5">
        <v>1.545</v>
      </c>
      <c r="U804" s="5">
        <v>6.18</v>
      </c>
      <c r="V804" s="5">
        <v>1.58</v>
      </c>
      <c r="W804" s="5">
        <v>6.32</v>
      </c>
      <c r="X804" s="4">
        <v>606.28</v>
      </c>
    </row>
    <row r="805" customHeight="1" spans="2:28">
      <c r="B805" s="6" t="str">
        <f t="shared" si="12"/>
        <v>43115-DT1EJ20250101-A-JIEU8018198-PARTS</v>
      </c>
      <c r="C805" t="s">
        <v>80</v>
      </c>
      <c r="D805" t="s">
        <v>81</v>
      </c>
      <c r="E805" t="s">
        <v>465</v>
      </c>
      <c r="F805" t="s">
        <v>466</v>
      </c>
      <c r="G805" s="1" t="s">
        <v>84</v>
      </c>
      <c r="I805" s="1" t="s">
        <v>85</v>
      </c>
      <c r="J805" s="1" t="s">
        <v>590</v>
      </c>
      <c r="K805" s="1" t="s">
        <v>597</v>
      </c>
      <c r="L805">
        <v>8421398006</v>
      </c>
      <c r="M805" s="2" t="s">
        <v>598</v>
      </c>
      <c r="N805" s="3" t="s">
        <v>599</v>
      </c>
      <c r="O805" s="1">
        <v>4</v>
      </c>
      <c r="P805" s="4">
        <v>140.03</v>
      </c>
      <c r="Q805" s="4">
        <v>44.88</v>
      </c>
      <c r="R805" s="4">
        <v>1.28</v>
      </c>
      <c r="S805" s="4">
        <v>151.57</v>
      </c>
      <c r="T805" s="5">
        <v>1.545</v>
      </c>
      <c r="U805" s="5">
        <v>6.18</v>
      </c>
      <c r="V805" s="5">
        <v>1.58</v>
      </c>
      <c r="W805" s="5">
        <v>6.32</v>
      </c>
      <c r="X805" s="4">
        <v>606.28</v>
      </c>
    </row>
    <row r="806" customHeight="1" spans="2:28">
      <c r="B806" s="6" t="str">
        <f t="shared" si="12"/>
        <v>43115-DT1EJ20250101-A-JIEU8018198-PARTS</v>
      </c>
      <c r="C806" t="s">
        <v>80</v>
      </c>
      <c r="D806" t="s">
        <v>81</v>
      </c>
      <c r="E806" t="s">
        <v>465</v>
      </c>
      <c r="F806" t="s">
        <v>466</v>
      </c>
      <c r="G806" s="1" t="s">
        <v>84</v>
      </c>
      <c r="I806" s="1" t="s">
        <v>85</v>
      </c>
      <c r="J806" s="1" t="s">
        <v>590</v>
      </c>
      <c r="K806" s="1" t="s">
        <v>597</v>
      </c>
      <c r="L806">
        <v>8421398006</v>
      </c>
      <c r="M806" s="2" t="s">
        <v>598</v>
      </c>
      <c r="N806" s="3" t="s">
        <v>599</v>
      </c>
      <c r="O806" s="1">
        <v>4</v>
      </c>
      <c r="P806" s="4">
        <v>140.03</v>
      </c>
      <c r="Q806" s="4">
        <v>44.88</v>
      </c>
      <c r="R806" s="4">
        <v>1.28</v>
      </c>
      <c r="S806" s="4">
        <v>151.57</v>
      </c>
      <c r="T806" s="5">
        <v>1.545</v>
      </c>
      <c r="U806" s="5">
        <v>6.18</v>
      </c>
      <c r="V806" s="5">
        <v>1.58</v>
      </c>
      <c r="W806" s="5">
        <v>6.32</v>
      </c>
      <c r="X806" s="4">
        <v>606.28</v>
      </c>
    </row>
    <row r="807" customHeight="1" spans="2:28">
      <c r="B807" s="6" t="str">
        <f t="shared" si="12"/>
        <v>43115-DT1EJ20250101-A-JIEU8018198-PARTS</v>
      </c>
      <c r="C807" t="s">
        <v>80</v>
      </c>
      <c r="D807" t="s">
        <v>81</v>
      </c>
      <c r="E807" t="s">
        <v>465</v>
      </c>
      <c r="F807" t="s">
        <v>466</v>
      </c>
      <c r="G807" s="1" t="s">
        <v>84</v>
      </c>
      <c r="I807" s="1" t="s">
        <v>85</v>
      </c>
      <c r="J807" s="1" t="s">
        <v>590</v>
      </c>
      <c r="K807" s="1" t="s">
        <v>597</v>
      </c>
      <c r="L807">
        <v>8421398006</v>
      </c>
      <c r="M807" s="2" t="s">
        <v>598</v>
      </c>
      <c r="N807" s="3" t="s">
        <v>599</v>
      </c>
      <c r="O807" s="1">
        <v>4</v>
      </c>
      <c r="P807" s="4">
        <v>140.03</v>
      </c>
      <c r="Q807" s="4">
        <v>44.88</v>
      </c>
      <c r="R807" s="4">
        <v>1.28</v>
      </c>
      <c r="S807" s="4">
        <v>151.57</v>
      </c>
      <c r="T807" s="5">
        <v>1.545</v>
      </c>
      <c r="U807" s="5">
        <v>6.18</v>
      </c>
      <c r="V807" s="5">
        <v>1.58</v>
      </c>
      <c r="W807" s="5">
        <v>6.32</v>
      </c>
      <c r="X807" s="4">
        <v>606.28</v>
      </c>
    </row>
    <row r="808" customHeight="1" spans="2:28">
      <c r="B808" s="6" t="str">
        <f t="shared" si="12"/>
        <v>43115-DT1EJ20250101-A-JIEU8018198-PARTS</v>
      </c>
      <c r="C808" t="s">
        <v>80</v>
      </c>
      <c r="D808" t="s">
        <v>81</v>
      </c>
      <c r="E808" t="s">
        <v>465</v>
      </c>
      <c r="F808" t="s">
        <v>466</v>
      </c>
      <c r="G808" s="1" t="s">
        <v>84</v>
      </c>
      <c r="I808" s="1" t="s">
        <v>85</v>
      </c>
      <c r="J808" s="1" t="s">
        <v>590</v>
      </c>
      <c r="K808" s="1" t="s">
        <v>597</v>
      </c>
      <c r="L808">
        <v>8421398006</v>
      </c>
      <c r="M808" s="2" t="s">
        <v>598</v>
      </c>
      <c r="N808" s="3" t="s">
        <v>599</v>
      </c>
      <c r="O808" s="1">
        <v>4</v>
      </c>
      <c r="P808" s="4">
        <v>140.03</v>
      </c>
      <c r="Q808" s="4">
        <v>44.88</v>
      </c>
      <c r="R808" s="4">
        <v>1.28</v>
      </c>
      <c r="S808" s="4">
        <v>151.57</v>
      </c>
      <c r="T808" s="5">
        <v>1.545</v>
      </c>
      <c r="U808" s="5">
        <v>6.18</v>
      </c>
      <c r="V808" s="5">
        <v>1.58</v>
      </c>
      <c r="W808" s="5">
        <v>6.32</v>
      </c>
      <c r="X808" s="4">
        <v>606.28</v>
      </c>
    </row>
    <row r="809" customHeight="1" spans="2:28">
      <c r="B809" s="6" t="str">
        <f t="shared" si="12"/>
        <v>43115-DT1EJ20250101-A-JIEU8018198-PARTS</v>
      </c>
      <c r="C809" t="s">
        <v>80</v>
      </c>
      <c r="D809" t="s">
        <v>81</v>
      </c>
      <c r="E809" t="s">
        <v>465</v>
      </c>
      <c r="F809" t="s">
        <v>466</v>
      </c>
      <c r="G809" s="1" t="s">
        <v>84</v>
      </c>
      <c r="I809" s="1" t="s">
        <v>85</v>
      </c>
      <c r="J809" s="1" t="s">
        <v>590</v>
      </c>
      <c r="K809" s="1" t="s">
        <v>597</v>
      </c>
      <c r="L809">
        <v>8421398006</v>
      </c>
      <c r="M809" s="2" t="s">
        <v>598</v>
      </c>
      <c r="N809" s="3" t="s">
        <v>599</v>
      </c>
      <c r="O809" s="1">
        <v>4</v>
      </c>
      <c r="P809" s="4">
        <v>140.03</v>
      </c>
      <c r="Q809" s="4">
        <v>44.88</v>
      </c>
      <c r="R809" s="4">
        <v>1.28</v>
      </c>
      <c r="S809" s="4">
        <v>151.57</v>
      </c>
      <c r="T809" s="5">
        <v>1.545</v>
      </c>
      <c r="U809" s="5">
        <v>6.18</v>
      </c>
      <c r="V809" s="5">
        <v>1.58</v>
      </c>
      <c r="W809" s="5">
        <v>6.32</v>
      </c>
      <c r="X809" s="4">
        <v>606.28</v>
      </c>
    </row>
    <row r="810" customHeight="1" spans="2:28">
      <c r="B810" s="6" t="str">
        <f t="shared" si="12"/>
        <v>43115-DT1EJ20250101-A-JIEU8018198-PARTS</v>
      </c>
      <c r="C810" t="s">
        <v>80</v>
      </c>
      <c r="D810" t="s">
        <v>81</v>
      </c>
      <c r="E810" t="s">
        <v>465</v>
      </c>
      <c r="F810" t="s">
        <v>466</v>
      </c>
      <c r="G810" s="1" t="s">
        <v>84</v>
      </c>
      <c r="I810" s="1" t="s">
        <v>85</v>
      </c>
      <c r="J810" s="1" t="s">
        <v>590</v>
      </c>
      <c r="K810" s="1" t="s">
        <v>597</v>
      </c>
      <c r="L810">
        <v>8421398006</v>
      </c>
      <c r="M810" s="2" t="s">
        <v>598</v>
      </c>
      <c r="N810" s="3" t="s">
        <v>599</v>
      </c>
      <c r="O810" s="1">
        <v>4</v>
      </c>
      <c r="P810" s="4">
        <v>140.03</v>
      </c>
      <c r="Q810" s="4">
        <v>44.88</v>
      </c>
      <c r="R810" s="4">
        <v>1.28</v>
      </c>
      <c r="S810" s="4">
        <v>151.57</v>
      </c>
      <c r="T810" s="5">
        <v>1.545</v>
      </c>
      <c r="U810" s="5">
        <v>6.18</v>
      </c>
      <c r="V810" s="5">
        <v>1.58</v>
      </c>
      <c r="W810" s="5">
        <v>6.32</v>
      </c>
      <c r="X810" s="4">
        <v>606.28</v>
      </c>
    </row>
    <row r="811" customHeight="1" spans="2:28">
      <c r="B811" s="6" t="str">
        <f t="shared" si="12"/>
        <v>43115-DT1EJ20250101-A-JIEU8018198-PARTS</v>
      </c>
      <c r="C811" t="s">
        <v>80</v>
      </c>
      <c r="D811" t="s">
        <v>81</v>
      </c>
      <c r="E811" t="s">
        <v>465</v>
      </c>
      <c r="F811" t="s">
        <v>466</v>
      </c>
      <c r="G811" s="1" t="s">
        <v>84</v>
      </c>
      <c r="I811" s="1" t="s">
        <v>85</v>
      </c>
      <c r="J811" s="1" t="s">
        <v>590</v>
      </c>
      <c r="K811" s="1" t="s">
        <v>597</v>
      </c>
      <c r="L811">
        <v>8421398006</v>
      </c>
      <c r="M811" s="2" t="s">
        <v>598</v>
      </c>
      <c r="N811" s="3" t="s">
        <v>599</v>
      </c>
      <c r="O811" s="1">
        <v>4</v>
      </c>
      <c r="P811" s="4">
        <v>140.03</v>
      </c>
      <c r="Q811" s="4">
        <v>44.88</v>
      </c>
      <c r="R811" s="4">
        <v>1.28</v>
      </c>
      <c r="S811" s="4">
        <v>151.57</v>
      </c>
      <c r="T811" s="5">
        <v>1.545</v>
      </c>
      <c r="U811" s="5">
        <v>6.18</v>
      </c>
      <c r="V811" s="5">
        <v>1.58</v>
      </c>
      <c r="W811" s="5">
        <v>6.32</v>
      </c>
      <c r="X811" s="4">
        <v>606.28</v>
      </c>
    </row>
    <row r="812" customHeight="1" spans="2:28">
      <c r="B812" s="6" t="str">
        <f t="shared" si="12"/>
        <v>43115-DT1EJ20250101-A-JIEU8018198-PARTS</v>
      </c>
      <c r="C812" t="s">
        <v>80</v>
      </c>
      <c r="D812" t="s">
        <v>81</v>
      </c>
      <c r="E812" t="s">
        <v>465</v>
      </c>
      <c r="F812" t="s">
        <v>466</v>
      </c>
      <c r="G812" s="1" t="s">
        <v>84</v>
      </c>
      <c r="I812" s="1" t="s">
        <v>85</v>
      </c>
      <c r="J812" s="1" t="s">
        <v>590</v>
      </c>
      <c r="K812" s="1" t="s">
        <v>597</v>
      </c>
      <c r="L812">
        <v>8421398006</v>
      </c>
      <c r="M812" s="2" t="s">
        <v>598</v>
      </c>
      <c r="N812" s="3" t="s">
        <v>599</v>
      </c>
      <c r="O812" s="1">
        <v>4</v>
      </c>
      <c r="P812" s="4">
        <v>140.03</v>
      </c>
      <c r="Q812" s="4">
        <v>44.88</v>
      </c>
      <c r="R812" s="4">
        <v>1.28</v>
      </c>
      <c r="S812" s="4">
        <v>151.57</v>
      </c>
      <c r="T812" s="5">
        <v>1.545</v>
      </c>
      <c r="U812" s="5">
        <v>6.18</v>
      </c>
      <c r="V812" s="5">
        <v>1.58</v>
      </c>
      <c r="W812" s="5">
        <v>6.32</v>
      </c>
      <c r="X812" s="4">
        <v>606.28</v>
      </c>
    </row>
    <row r="813" customHeight="1" spans="2:28">
      <c r="B813" s="6" t="str">
        <f t="shared" si="12"/>
        <v>43115-DT1EJ20250101-A-JIEU8018198-PARTS</v>
      </c>
      <c r="C813" t="s">
        <v>80</v>
      </c>
      <c r="D813" t="s">
        <v>81</v>
      </c>
      <c r="E813" t="s">
        <v>465</v>
      </c>
      <c r="F813" t="s">
        <v>466</v>
      </c>
      <c r="G813" s="1" t="s">
        <v>84</v>
      </c>
      <c r="I813" s="1" t="s">
        <v>85</v>
      </c>
      <c r="J813" s="1" t="s">
        <v>590</v>
      </c>
      <c r="K813" s="1" t="s">
        <v>597</v>
      </c>
      <c r="L813">
        <v>8421398006</v>
      </c>
      <c r="M813" s="2" t="s">
        <v>598</v>
      </c>
      <c r="N813" s="3" t="s">
        <v>599</v>
      </c>
      <c r="O813" s="1">
        <v>4</v>
      </c>
      <c r="P813" s="4">
        <v>140.03</v>
      </c>
      <c r="Q813" s="4">
        <v>44.88</v>
      </c>
      <c r="R813" s="4">
        <v>1.28</v>
      </c>
      <c r="S813" s="4">
        <v>151.57</v>
      </c>
      <c r="T813" s="5">
        <v>1.545</v>
      </c>
      <c r="U813" s="5">
        <v>6.18</v>
      </c>
      <c r="V813" s="5">
        <v>1.58</v>
      </c>
      <c r="W813" s="5">
        <v>6.32</v>
      </c>
      <c r="X813" s="4">
        <v>606.28</v>
      </c>
    </row>
    <row r="814" customHeight="1" spans="2:28">
      <c r="B814" s="6" t="str">
        <f t="shared" si="12"/>
        <v>43115-DT1EJ20250101-A-JIEU8018198-PARTS</v>
      </c>
      <c r="C814" t="s">
        <v>80</v>
      </c>
      <c r="D814" t="s">
        <v>81</v>
      </c>
      <c r="E814" t="s">
        <v>465</v>
      </c>
      <c r="F814" t="s">
        <v>466</v>
      </c>
      <c r="G814" s="1" t="s">
        <v>84</v>
      </c>
      <c r="I814" s="1" t="s">
        <v>85</v>
      </c>
      <c r="J814" s="1" t="s">
        <v>590</v>
      </c>
      <c r="K814" s="1" t="s">
        <v>597</v>
      </c>
      <c r="L814">
        <v>8421398006</v>
      </c>
      <c r="M814" s="2" t="s">
        <v>598</v>
      </c>
      <c r="N814" s="3" t="s">
        <v>599</v>
      </c>
      <c r="O814" s="1">
        <v>4</v>
      </c>
      <c r="P814" s="4">
        <v>140.03</v>
      </c>
      <c r="Q814" s="4">
        <v>44.88</v>
      </c>
      <c r="R814" s="4">
        <v>1.28</v>
      </c>
      <c r="S814" s="4">
        <v>151.57</v>
      </c>
      <c r="T814" s="5">
        <v>1.545</v>
      </c>
      <c r="U814" s="5">
        <v>6.18</v>
      </c>
      <c r="V814" s="5">
        <v>1.58</v>
      </c>
      <c r="W814" s="5">
        <v>6.32</v>
      </c>
      <c r="X814" s="4">
        <v>606.28</v>
      </c>
    </row>
    <row r="815" customHeight="1" spans="2:28">
      <c r="B815" s="6" t="str">
        <f t="shared" si="12"/>
        <v>43115-DT1EJ20250101-A-JIEU8018198-PARTS</v>
      </c>
      <c r="C815" t="s">
        <v>80</v>
      </c>
      <c r="D815" t="s">
        <v>81</v>
      </c>
      <c r="E815" t="s">
        <v>465</v>
      </c>
      <c r="F815" t="s">
        <v>466</v>
      </c>
      <c r="G815" s="1" t="s">
        <v>84</v>
      </c>
      <c r="I815" s="1" t="s">
        <v>85</v>
      </c>
      <c r="J815" s="1" t="s">
        <v>600</v>
      </c>
      <c r="K815" s="1" t="s">
        <v>601</v>
      </c>
      <c r="L815">
        <v>4016995709</v>
      </c>
      <c r="M815" s="2" t="s">
        <v>602</v>
      </c>
      <c r="N815" s="3" t="s">
        <v>553</v>
      </c>
      <c r="O815" s="1">
        <v>60</v>
      </c>
      <c r="P815" s="4">
        <v>3.06</v>
      </c>
      <c r="Q815" s="4">
        <v>15</v>
      </c>
      <c r="R815" s="4">
        <v>0.6</v>
      </c>
      <c r="S815" s="4">
        <v>3.32</v>
      </c>
      <c r="T815" s="5">
        <v>0.174</v>
      </c>
      <c r="U815" s="5">
        <v>10.44</v>
      </c>
      <c r="V815" s="5">
        <v>0.26</v>
      </c>
      <c r="W815" s="5">
        <v>15.6</v>
      </c>
      <c r="X815" s="4">
        <v>199.2</v>
      </c>
      <c r="Y815">
        <v>1140</v>
      </c>
      <c r="Z815">
        <v>1180</v>
      </c>
      <c r="AA815">
        <v>850</v>
      </c>
      <c r="AB815" s="1">
        <v>1.14</v>
      </c>
    </row>
    <row r="816" customHeight="1" spans="2:28">
      <c r="B816" s="6" t="str">
        <f t="shared" si="12"/>
        <v>43115-DT1EJ20250101-A-JIEU8018198-PARTS</v>
      </c>
      <c r="C816" t="s">
        <v>80</v>
      </c>
      <c r="D816" t="s">
        <v>81</v>
      </c>
      <c r="E816" t="s">
        <v>465</v>
      </c>
      <c r="F816" t="s">
        <v>466</v>
      </c>
      <c r="G816" s="1" t="s">
        <v>84</v>
      </c>
      <c r="I816" s="1" t="s">
        <v>85</v>
      </c>
      <c r="J816" s="1" t="s">
        <v>600</v>
      </c>
      <c r="K816" s="1" t="s">
        <v>601</v>
      </c>
      <c r="L816">
        <v>4016995709</v>
      </c>
      <c r="M816" s="2" t="s">
        <v>602</v>
      </c>
      <c r="N816" s="3" t="s">
        <v>553</v>
      </c>
      <c r="O816" s="1">
        <v>60</v>
      </c>
      <c r="P816" s="4">
        <v>3.06</v>
      </c>
      <c r="Q816" s="4">
        <v>15</v>
      </c>
      <c r="R816" s="4">
        <v>0.6</v>
      </c>
      <c r="S816" s="4">
        <v>3.32</v>
      </c>
      <c r="T816" s="5">
        <v>0.174</v>
      </c>
      <c r="U816" s="5">
        <v>10.44</v>
      </c>
      <c r="V816" s="5">
        <v>0.26</v>
      </c>
      <c r="W816" s="5">
        <v>15.6</v>
      </c>
      <c r="X816" s="4">
        <v>199.2</v>
      </c>
    </row>
    <row r="817" customHeight="1" spans="2:24">
      <c r="B817" s="6" t="str">
        <f t="shared" si="12"/>
        <v>43115-DT1EJ20250101-A-JIEU8018198-PARTS</v>
      </c>
      <c r="C817" t="s">
        <v>80</v>
      </c>
      <c r="D817" t="s">
        <v>81</v>
      </c>
      <c r="E817" t="s">
        <v>465</v>
      </c>
      <c r="F817" t="s">
        <v>466</v>
      </c>
      <c r="G817" s="1" t="s">
        <v>84</v>
      </c>
      <c r="I817" s="1" t="s">
        <v>85</v>
      </c>
      <c r="J817" s="1" t="s">
        <v>600</v>
      </c>
      <c r="K817" s="1" t="s">
        <v>603</v>
      </c>
      <c r="L817">
        <v>4016995709</v>
      </c>
      <c r="M817" s="2" t="s">
        <v>604</v>
      </c>
      <c r="N817" s="3" t="s">
        <v>605</v>
      </c>
      <c r="O817" s="1">
        <v>120</v>
      </c>
      <c r="P817" s="4">
        <v>4.91</v>
      </c>
      <c r="Q817" s="4">
        <v>46.8</v>
      </c>
      <c r="R817" s="4">
        <v>1.2</v>
      </c>
      <c r="S817" s="4">
        <v>5.31</v>
      </c>
      <c r="T817" s="5">
        <v>0.063</v>
      </c>
      <c r="U817" s="5">
        <v>7.56</v>
      </c>
      <c r="V817" s="5">
        <v>0.1</v>
      </c>
      <c r="W817" s="5">
        <v>12</v>
      </c>
      <c r="X817" s="4">
        <v>637.2</v>
      </c>
    </row>
    <row r="818" customHeight="1" spans="2:24">
      <c r="B818" s="6" t="str">
        <f t="shared" si="12"/>
        <v>43115-DT1EJ20250101-A-JIEU8018198-PARTS</v>
      </c>
      <c r="C818" t="s">
        <v>80</v>
      </c>
      <c r="D818" t="s">
        <v>81</v>
      </c>
      <c r="E818" t="s">
        <v>465</v>
      </c>
      <c r="F818" t="s">
        <v>466</v>
      </c>
      <c r="G818" s="1" t="s">
        <v>84</v>
      </c>
      <c r="I818" s="1" t="s">
        <v>85</v>
      </c>
      <c r="J818" s="1" t="s">
        <v>600</v>
      </c>
      <c r="K818" s="1" t="s">
        <v>603</v>
      </c>
      <c r="L818">
        <v>4016995709</v>
      </c>
      <c r="M818" s="2" t="s">
        <v>604</v>
      </c>
      <c r="N818" s="3" t="s">
        <v>605</v>
      </c>
      <c r="O818" s="1">
        <v>120</v>
      </c>
      <c r="P818" s="4">
        <v>4.91</v>
      </c>
      <c r="Q818" s="4">
        <v>46.8</v>
      </c>
      <c r="R818" s="4">
        <v>1.2</v>
      </c>
      <c r="S818" s="4">
        <v>5.31</v>
      </c>
      <c r="T818" s="5">
        <v>0.063</v>
      </c>
      <c r="U818" s="5">
        <v>7.56</v>
      </c>
      <c r="V818" s="5">
        <v>0.1</v>
      </c>
      <c r="W818" s="5">
        <v>12</v>
      </c>
      <c r="X818" s="4">
        <v>637.2</v>
      </c>
    </row>
    <row r="819" customHeight="1" spans="2:24">
      <c r="B819" s="6" t="str">
        <f t="shared" si="12"/>
        <v>43115-DT1EJ20250101-A-JIEU8018198-PARTS</v>
      </c>
      <c r="C819" t="s">
        <v>80</v>
      </c>
      <c r="D819" t="s">
        <v>81</v>
      </c>
      <c r="E819" t="s">
        <v>465</v>
      </c>
      <c r="F819" t="s">
        <v>466</v>
      </c>
      <c r="G819" s="1" t="s">
        <v>84</v>
      </c>
      <c r="I819" s="1" t="s">
        <v>85</v>
      </c>
      <c r="J819" s="1" t="s">
        <v>600</v>
      </c>
      <c r="K819" s="1" t="s">
        <v>606</v>
      </c>
      <c r="L819">
        <v>8708709909</v>
      </c>
      <c r="M819" s="2" t="s">
        <v>607</v>
      </c>
      <c r="N819" s="3" t="s">
        <v>608</v>
      </c>
      <c r="O819" s="1">
        <v>240</v>
      </c>
      <c r="P819" s="4">
        <v>5.67</v>
      </c>
      <c r="Q819" s="4">
        <v>108</v>
      </c>
      <c r="R819" s="4">
        <v>2.4</v>
      </c>
      <c r="S819" s="4">
        <v>6.13</v>
      </c>
      <c r="T819" s="5">
        <v>0.016</v>
      </c>
      <c r="U819" s="5">
        <v>3.84</v>
      </c>
      <c r="V819" s="5">
        <v>0.02</v>
      </c>
      <c r="W819" s="5">
        <v>4.8</v>
      </c>
      <c r="X819" s="4">
        <v>1471.2</v>
      </c>
    </row>
    <row r="820" customHeight="1" spans="2:24">
      <c r="B820" s="6" t="str">
        <f t="shared" si="12"/>
        <v>43115-DT1EJ20250101-A-JIEU8018198-PARTS</v>
      </c>
      <c r="C820" t="s">
        <v>80</v>
      </c>
      <c r="D820" t="s">
        <v>81</v>
      </c>
      <c r="E820" t="s">
        <v>465</v>
      </c>
      <c r="F820" t="s">
        <v>466</v>
      </c>
      <c r="G820" s="1" t="s">
        <v>84</v>
      </c>
      <c r="I820" s="1" t="s">
        <v>85</v>
      </c>
      <c r="J820" s="1" t="s">
        <v>600</v>
      </c>
      <c r="K820" s="1" t="s">
        <v>606</v>
      </c>
      <c r="L820">
        <v>8708709909</v>
      </c>
      <c r="M820" s="2" t="s">
        <v>607</v>
      </c>
      <c r="N820" s="3" t="s">
        <v>608</v>
      </c>
      <c r="O820" s="1">
        <v>240</v>
      </c>
      <c r="P820" s="4">
        <v>5.67</v>
      </c>
      <c r="Q820" s="4">
        <v>108</v>
      </c>
      <c r="R820" s="4">
        <v>2.4</v>
      </c>
      <c r="S820" s="4">
        <v>6.13</v>
      </c>
      <c r="T820" s="5">
        <v>0.016</v>
      </c>
      <c r="U820" s="5">
        <v>3.84</v>
      </c>
      <c r="V820" s="5">
        <v>0.02</v>
      </c>
      <c r="W820" s="5">
        <v>4.8</v>
      </c>
      <c r="X820" s="4">
        <v>1471.2</v>
      </c>
    </row>
    <row r="821" customHeight="1" spans="2:24">
      <c r="B821" s="6" t="str">
        <f t="shared" si="12"/>
        <v>43115-DT1EJ20250101-A-JIEU8018198-PARTS</v>
      </c>
      <c r="C821" t="s">
        <v>80</v>
      </c>
      <c r="D821" t="s">
        <v>81</v>
      </c>
      <c r="E821" t="s">
        <v>465</v>
      </c>
      <c r="F821" t="s">
        <v>466</v>
      </c>
      <c r="G821" s="1" t="s">
        <v>84</v>
      </c>
      <c r="I821" s="1" t="s">
        <v>85</v>
      </c>
      <c r="J821" s="1" t="s">
        <v>600</v>
      </c>
      <c r="K821" s="1" t="s">
        <v>609</v>
      </c>
      <c r="L821">
        <v>8708999709</v>
      </c>
      <c r="M821" s="2" t="s">
        <v>610</v>
      </c>
      <c r="N821" s="3" t="s">
        <v>611</v>
      </c>
      <c r="O821" s="1">
        <v>20</v>
      </c>
      <c r="P821" s="4">
        <v>28.96</v>
      </c>
      <c r="Q821" s="4">
        <v>46.4</v>
      </c>
      <c r="R821" s="4">
        <v>1.4</v>
      </c>
      <c r="S821" s="4">
        <v>31.35</v>
      </c>
      <c r="T821" s="5">
        <v>0.552</v>
      </c>
      <c r="U821" s="5">
        <v>11.04</v>
      </c>
      <c r="V821" s="5">
        <v>0.83</v>
      </c>
      <c r="W821" s="5">
        <v>16.6</v>
      </c>
      <c r="X821" s="4">
        <v>627</v>
      </c>
    </row>
    <row r="822" customHeight="1" spans="2:24">
      <c r="B822" s="6" t="str">
        <f t="shared" si="12"/>
        <v>43115-DT1EJ20250101-A-JIEU8018198-PARTS</v>
      </c>
      <c r="C822" t="s">
        <v>80</v>
      </c>
      <c r="D822" t="s">
        <v>81</v>
      </c>
      <c r="E822" t="s">
        <v>465</v>
      </c>
      <c r="F822" t="s">
        <v>466</v>
      </c>
      <c r="G822" s="1" t="s">
        <v>84</v>
      </c>
      <c r="I822" s="1" t="s">
        <v>85</v>
      </c>
      <c r="J822" s="1" t="s">
        <v>600</v>
      </c>
      <c r="K822" s="1" t="s">
        <v>609</v>
      </c>
      <c r="L822">
        <v>8708999709</v>
      </c>
      <c r="M822" s="2" t="s">
        <v>610</v>
      </c>
      <c r="N822" s="3" t="s">
        <v>611</v>
      </c>
      <c r="O822" s="1">
        <v>20</v>
      </c>
      <c r="P822" s="4">
        <v>28.96</v>
      </c>
      <c r="Q822" s="4">
        <v>46.4</v>
      </c>
      <c r="R822" s="4">
        <v>1.4</v>
      </c>
      <c r="S822" s="4">
        <v>31.35</v>
      </c>
      <c r="T822" s="5">
        <v>0.552</v>
      </c>
      <c r="U822" s="5">
        <v>11.04</v>
      </c>
      <c r="V822" s="5">
        <v>0.83</v>
      </c>
      <c r="W822" s="5">
        <v>16.6</v>
      </c>
      <c r="X822" s="4">
        <v>627</v>
      </c>
    </row>
    <row r="823" customHeight="1" spans="2:24">
      <c r="B823" s="6" t="str">
        <f t="shared" si="12"/>
        <v>43115-DT1EJ20250101-A-JIEU8018198-PARTS</v>
      </c>
      <c r="C823" t="s">
        <v>80</v>
      </c>
      <c r="D823" t="s">
        <v>81</v>
      </c>
      <c r="E823" t="s">
        <v>465</v>
      </c>
      <c r="F823" t="s">
        <v>466</v>
      </c>
      <c r="G823" s="1" t="s">
        <v>84</v>
      </c>
      <c r="I823" s="1" t="s">
        <v>85</v>
      </c>
      <c r="J823" s="1" t="s">
        <v>600</v>
      </c>
      <c r="K823" s="1" t="s">
        <v>609</v>
      </c>
      <c r="L823">
        <v>8708999709</v>
      </c>
      <c r="M823" s="2" t="s">
        <v>610</v>
      </c>
      <c r="N823" s="3" t="s">
        <v>611</v>
      </c>
      <c r="O823" s="1">
        <v>20</v>
      </c>
      <c r="P823" s="4">
        <v>28.96</v>
      </c>
      <c r="Q823" s="4">
        <v>46.4</v>
      </c>
      <c r="R823" s="4">
        <v>1.4</v>
      </c>
      <c r="S823" s="4">
        <v>31.35</v>
      </c>
      <c r="T823" s="5">
        <v>0.552</v>
      </c>
      <c r="U823" s="5">
        <v>11.04</v>
      </c>
      <c r="V823" s="5">
        <v>0.83</v>
      </c>
      <c r="W823" s="5">
        <v>16.6</v>
      </c>
      <c r="X823" s="4">
        <v>627</v>
      </c>
    </row>
    <row r="824" customHeight="1" spans="2:24">
      <c r="B824" s="6" t="str">
        <f t="shared" si="12"/>
        <v>43115-DT1EJ20250101-A-JIEU8018198-PARTS</v>
      </c>
      <c r="C824" t="s">
        <v>80</v>
      </c>
      <c r="D824" t="s">
        <v>81</v>
      </c>
      <c r="E824" t="s">
        <v>465</v>
      </c>
      <c r="F824" t="s">
        <v>466</v>
      </c>
      <c r="G824" s="1" t="s">
        <v>84</v>
      </c>
      <c r="I824" s="1" t="s">
        <v>85</v>
      </c>
      <c r="J824" s="1" t="s">
        <v>600</v>
      </c>
      <c r="K824" s="1" t="s">
        <v>609</v>
      </c>
      <c r="L824">
        <v>8708999709</v>
      </c>
      <c r="M824" s="2" t="s">
        <v>610</v>
      </c>
      <c r="N824" s="3" t="s">
        <v>611</v>
      </c>
      <c r="O824" s="1">
        <v>20</v>
      </c>
      <c r="P824" s="4">
        <v>28.96</v>
      </c>
      <c r="Q824" s="4">
        <v>46.4</v>
      </c>
      <c r="R824" s="4">
        <v>1.4</v>
      </c>
      <c r="S824" s="4">
        <v>31.35</v>
      </c>
      <c r="T824" s="5">
        <v>0.552</v>
      </c>
      <c r="U824" s="5">
        <v>11.04</v>
      </c>
      <c r="V824" s="5">
        <v>0.83</v>
      </c>
      <c r="W824" s="5">
        <v>16.6</v>
      </c>
      <c r="X824" s="4">
        <v>627</v>
      </c>
    </row>
    <row r="825" customHeight="1" spans="2:24">
      <c r="B825" s="6" t="str">
        <f t="shared" si="12"/>
        <v>43115-DT1EJ20250101-A-JIEU8018198-PARTS</v>
      </c>
      <c r="C825" t="s">
        <v>80</v>
      </c>
      <c r="D825" t="s">
        <v>81</v>
      </c>
      <c r="E825" t="s">
        <v>465</v>
      </c>
      <c r="F825" t="s">
        <v>466</v>
      </c>
      <c r="G825" s="1" t="s">
        <v>84</v>
      </c>
      <c r="I825" s="1" t="s">
        <v>85</v>
      </c>
      <c r="J825" s="1" t="s">
        <v>600</v>
      </c>
      <c r="K825" s="1" t="s">
        <v>609</v>
      </c>
      <c r="L825">
        <v>8708999709</v>
      </c>
      <c r="M825" s="2" t="s">
        <v>610</v>
      </c>
      <c r="N825" s="3" t="s">
        <v>611</v>
      </c>
      <c r="O825" s="1">
        <v>20</v>
      </c>
      <c r="P825" s="4">
        <v>28.96</v>
      </c>
      <c r="Q825" s="4">
        <v>46.4</v>
      </c>
      <c r="R825" s="4">
        <v>1.4</v>
      </c>
      <c r="S825" s="4">
        <v>31.35</v>
      </c>
      <c r="T825" s="5">
        <v>0.552</v>
      </c>
      <c r="U825" s="5">
        <v>11.04</v>
      </c>
      <c r="V825" s="5">
        <v>0.83</v>
      </c>
      <c r="W825" s="5">
        <v>16.6</v>
      </c>
      <c r="X825" s="4">
        <v>627</v>
      </c>
    </row>
    <row r="826" customHeight="1" spans="2:24">
      <c r="B826" s="6" t="str">
        <f t="shared" si="12"/>
        <v>43115-DT1EJ20250101-A-JIEU8018198-PARTS</v>
      </c>
      <c r="C826" t="s">
        <v>80</v>
      </c>
      <c r="D826" t="s">
        <v>81</v>
      </c>
      <c r="E826" t="s">
        <v>465</v>
      </c>
      <c r="F826" t="s">
        <v>466</v>
      </c>
      <c r="G826" s="1" t="s">
        <v>84</v>
      </c>
      <c r="I826" s="1" t="s">
        <v>85</v>
      </c>
      <c r="J826" s="1" t="s">
        <v>600</v>
      </c>
      <c r="K826" s="1" t="s">
        <v>609</v>
      </c>
      <c r="L826">
        <v>8708999709</v>
      </c>
      <c r="M826" s="2" t="s">
        <v>610</v>
      </c>
      <c r="N826" s="3" t="s">
        <v>611</v>
      </c>
      <c r="O826" s="1">
        <v>20</v>
      </c>
      <c r="P826" s="4">
        <v>28.96</v>
      </c>
      <c r="Q826" s="4">
        <v>46.4</v>
      </c>
      <c r="R826" s="4">
        <v>1.4</v>
      </c>
      <c r="S826" s="4">
        <v>31.35</v>
      </c>
      <c r="T826" s="5">
        <v>0.552</v>
      </c>
      <c r="U826" s="5">
        <v>11.04</v>
      </c>
      <c r="V826" s="5">
        <v>0.83</v>
      </c>
      <c r="W826" s="5">
        <v>16.6</v>
      </c>
      <c r="X826" s="4">
        <v>627</v>
      </c>
    </row>
    <row r="827" customHeight="1" spans="2:24">
      <c r="B827" s="6" t="str">
        <f t="shared" si="12"/>
        <v>43115-DT1EJ20250101-A-JIEU8018198-PARTS</v>
      </c>
      <c r="C827" t="s">
        <v>80</v>
      </c>
      <c r="D827" t="s">
        <v>81</v>
      </c>
      <c r="E827" t="s">
        <v>465</v>
      </c>
      <c r="F827" t="s">
        <v>466</v>
      </c>
      <c r="G827" s="1" t="s">
        <v>84</v>
      </c>
      <c r="I827" s="1" t="s">
        <v>85</v>
      </c>
      <c r="J827" s="1" t="s">
        <v>600</v>
      </c>
      <c r="K827" s="1" t="s">
        <v>612</v>
      </c>
      <c r="L827">
        <v>4009310000</v>
      </c>
      <c r="M827" s="2" t="s">
        <v>613</v>
      </c>
      <c r="N827" s="3" t="s">
        <v>614</v>
      </c>
      <c r="O827" s="1">
        <v>60</v>
      </c>
      <c r="P827" s="4">
        <v>6.65</v>
      </c>
      <c r="Q827" s="4">
        <v>31.8</v>
      </c>
      <c r="R827" s="4">
        <v>1.2</v>
      </c>
      <c r="S827" s="4">
        <v>7.2</v>
      </c>
      <c r="T827" s="5">
        <v>0.016</v>
      </c>
      <c r="U827" s="5">
        <v>0.96</v>
      </c>
      <c r="V827" s="5">
        <v>0.02</v>
      </c>
      <c r="W827" s="5">
        <v>1.2</v>
      </c>
      <c r="X827" s="4">
        <v>432</v>
      </c>
    </row>
    <row r="828" customHeight="1" spans="2:24">
      <c r="B828" s="6" t="str">
        <f t="shared" si="12"/>
        <v>43115-DT1EJ20250101-A-JIEU8018198-PARTS</v>
      </c>
      <c r="C828" t="s">
        <v>80</v>
      </c>
      <c r="D828" t="s">
        <v>81</v>
      </c>
      <c r="E828" t="s">
        <v>465</v>
      </c>
      <c r="F828" t="s">
        <v>466</v>
      </c>
      <c r="G828" s="1" t="s">
        <v>84</v>
      </c>
      <c r="I828" s="1" t="s">
        <v>85</v>
      </c>
      <c r="J828" s="1" t="s">
        <v>600</v>
      </c>
      <c r="K828" s="1" t="s">
        <v>612</v>
      </c>
      <c r="L828">
        <v>4009310000</v>
      </c>
      <c r="M828" s="2" t="s">
        <v>613</v>
      </c>
      <c r="N828" s="3" t="s">
        <v>614</v>
      </c>
      <c r="O828" s="1">
        <v>60</v>
      </c>
      <c r="P828" s="4">
        <v>6.65</v>
      </c>
      <c r="Q828" s="4">
        <v>31.8</v>
      </c>
      <c r="R828" s="4">
        <v>1.2</v>
      </c>
      <c r="S828" s="4">
        <v>7.2</v>
      </c>
      <c r="T828" s="5">
        <v>0.016</v>
      </c>
      <c r="U828" s="5">
        <v>0.96</v>
      </c>
      <c r="V828" s="5">
        <v>0.02</v>
      </c>
      <c r="W828" s="5">
        <v>1.2</v>
      </c>
      <c r="X828" s="4">
        <v>432</v>
      </c>
    </row>
    <row r="829" customHeight="1" spans="2:24">
      <c r="B829" s="6" t="str">
        <f t="shared" si="12"/>
        <v>43115-DT1EJ20250101-A-JIEU8018198-PARTS</v>
      </c>
      <c r="C829" t="s">
        <v>80</v>
      </c>
      <c r="D829" t="s">
        <v>81</v>
      </c>
      <c r="E829" t="s">
        <v>465</v>
      </c>
      <c r="F829" t="s">
        <v>466</v>
      </c>
      <c r="G829" s="1" t="s">
        <v>84</v>
      </c>
      <c r="I829" s="1" t="s">
        <v>85</v>
      </c>
      <c r="J829" s="1" t="s">
        <v>600</v>
      </c>
      <c r="K829" s="1" t="s">
        <v>615</v>
      </c>
      <c r="L829">
        <v>4009310000</v>
      </c>
      <c r="M829" s="2" t="s">
        <v>616</v>
      </c>
      <c r="N829" s="3" t="s">
        <v>617</v>
      </c>
      <c r="O829" s="1">
        <v>60</v>
      </c>
      <c r="P829" s="4">
        <v>6.74</v>
      </c>
      <c r="Q829" s="4">
        <v>32.4</v>
      </c>
      <c r="R829" s="4">
        <v>1.2</v>
      </c>
      <c r="S829" s="4">
        <v>7.3</v>
      </c>
      <c r="T829" s="5">
        <v>0.02</v>
      </c>
      <c r="U829" s="5">
        <v>1.2</v>
      </c>
      <c r="V829" s="5">
        <v>0.03</v>
      </c>
      <c r="W829" s="5">
        <v>1.8</v>
      </c>
      <c r="X829" s="4">
        <v>438</v>
      </c>
    </row>
    <row r="830" customHeight="1" spans="2:24">
      <c r="B830" s="6" t="str">
        <f t="shared" si="12"/>
        <v>43115-DT1EJ20250101-A-JIEU8018198-PARTS</v>
      </c>
      <c r="C830" t="s">
        <v>80</v>
      </c>
      <c r="D830" t="s">
        <v>81</v>
      </c>
      <c r="E830" t="s">
        <v>465</v>
      </c>
      <c r="F830" t="s">
        <v>466</v>
      </c>
      <c r="G830" s="1" t="s">
        <v>84</v>
      </c>
      <c r="I830" s="1" t="s">
        <v>85</v>
      </c>
      <c r="J830" s="1" t="s">
        <v>600</v>
      </c>
      <c r="K830" s="1" t="s">
        <v>615</v>
      </c>
      <c r="L830">
        <v>4009310000</v>
      </c>
      <c r="M830" s="2" t="s">
        <v>616</v>
      </c>
      <c r="N830" s="3" t="s">
        <v>617</v>
      </c>
      <c r="O830" s="1">
        <v>60</v>
      </c>
      <c r="P830" s="4">
        <v>6.74</v>
      </c>
      <c r="Q830" s="4">
        <v>32.4</v>
      </c>
      <c r="R830" s="4">
        <v>1.2</v>
      </c>
      <c r="S830" s="4">
        <v>7.3</v>
      </c>
      <c r="T830" s="5">
        <v>0.02</v>
      </c>
      <c r="U830" s="5">
        <v>1.2</v>
      </c>
      <c r="V830" s="5">
        <v>0.03</v>
      </c>
      <c r="W830" s="5">
        <v>1.8</v>
      </c>
      <c r="X830" s="4">
        <v>438</v>
      </c>
    </row>
    <row r="831" customHeight="1" spans="2:24">
      <c r="B831" s="6" t="str">
        <f t="shared" si="12"/>
        <v>43115-DT1EJ20250101-A-JIEU8018198-PARTS</v>
      </c>
      <c r="C831" t="s">
        <v>80</v>
      </c>
      <c r="D831" t="s">
        <v>81</v>
      </c>
      <c r="E831" t="s">
        <v>465</v>
      </c>
      <c r="F831" t="s">
        <v>466</v>
      </c>
      <c r="G831" s="1" t="s">
        <v>84</v>
      </c>
      <c r="I831" s="1" t="s">
        <v>85</v>
      </c>
      <c r="J831" s="1" t="s">
        <v>600</v>
      </c>
      <c r="K831" s="1" t="s">
        <v>618</v>
      </c>
      <c r="L831">
        <v>8708299009</v>
      </c>
      <c r="M831" s="2" t="s">
        <v>619</v>
      </c>
      <c r="N831" s="3" t="s">
        <v>620</v>
      </c>
      <c r="O831" s="1">
        <v>60</v>
      </c>
      <c r="P831" s="4">
        <v>4.53</v>
      </c>
      <c r="Q831" s="4">
        <v>21.6</v>
      </c>
      <c r="R831" s="4">
        <v>0.6</v>
      </c>
      <c r="S831" s="4">
        <v>4.9</v>
      </c>
      <c r="T831" s="5">
        <v>0.08</v>
      </c>
      <c r="U831" s="5">
        <v>4.8</v>
      </c>
      <c r="V831" s="5">
        <v>0.12</v>
      </c>
      <c r="W831" s="5">
        <v>7.2</v>
      </c>
      <c r="X831" s="4">
        <v>294</v>
      </c>
    </row>
    <row r="832" customHeight="1" spans="2:24">
      <c r="B832" s="6" t="str">
        <f t="shared" si="12"/>
        <v>43115-DT1EJ20250101-A-JIEU8018198-PARTS</v>
      </c>
      <c r="C832" t="s">
        <v>80</v>
      </c>
      <c r="D832" t="s">
        <v>81</v>
      </c>
      <c r="E832" t="s">
        <v>465</v>
      </c>
      <c r="F832" t="s">
        <v>466</v>
      </c>
      <c r="G832" s="1" t="s">
        <v>84</v>
      </c>
      <c r="I832" s="1" t="s">
        <v>85</v>
      </c>
      <c r="J832" s="1" t="s">
        <v>600</v>
      </c>
      <c r="K832" s="1" t="s">
        <v>618</v>
      </c>
      <c r="L832">
        <v>8708299009</v>
      </c>
      <c r="M832" s="2" t="s">
        <v>619</v>
      </c>
      <c r="N832" s="3" t="s">
        <v>620</v>
      </c>
      <c r="O832" s="1">
        <v>60</v>
      </c>
      <c r="P832" s="4">
        <v>4.53</v>
      </c>
      <c r="Q832" s="4">
        <v>21.6</v>
      </c>
      <c r="R832" s="4">
        <v>0.6</v>
      </c>
      <c r="S832" s="4">
        <v>4.9</v>
      </c>
      <c r="T832" s="5">
        <v>0.08</v>
      </c>
      <c r="U832" s="5">
        <v>4.8</v>
      </c>
      <c r="V832" s="5">
        <v>0.12</v>
      </c>
      <c r="W832" s="5">
        <v>7.2</v>
      </c>
      <c r="X832" s="4">
        <v>294</v>
      </c>
    </row>
    <row r="833" customHeight="1" spans="2:28">
      <c r="B833" s="6" t="str">
        <f t="shared" si="12"/>
        <v>43115-DT1EJ20250101-A-JIEU8018198-PARTS</v>
      </c>
      <c r="C833" t="s">
        <v>80</v>
      </c>
      <c r="D833" t="s">
        <v>81</v>
      </c>
      <c r="E833" t="s">
        <v>465</v>
      </c>
      <c r="F833" t="s">
        <v>466</v>
      </c>
      <c r="G833" s="1" t="s">
        <v>84</v>
      </c>
      <c r="I833" s="1" t="s">
        <v>85</v>
      </c>
      <c r="J833" s="1" t="s">
        <v>621</v>
      </c>
      <c r="K833" s="1" t="s">
        <v>622</v>
      </c>
      <c r="L833">
        <v>8708299009</v>
      </c>
      <c r="M833" s="2" t="s">
        <v>623</v>
      </c>
      <c r="N833" s="3" t="s">
        <v>624</v>
      </c>
      <c r="O833" s="1">
        <v>12</v>
      </c>
      <c r="P833" s="4">
        <v>22.02</v>
      </c>
      <c r="Q833" s="4">
        <v>21.24</v>
      </c>
      <c r="R833" s="4">
        <v>0.6</v>
      </c>
      <c r="S833" s="4">
        <v>23.84</v>
      </c>
      <c r="T833" s="5">
        <v>0.612</v>
      </c>
      <c r="U833" s="5">
        <v>7.344</v>
      </c>
      <c r="V833" s="5">
        <v>1.21</v>
      </c>
      <c r="W833" s="5">
        <v>14.52</v>
      </c>
      <c r="X833" s="4">
        <v>286.08</v>
      </c>
      <c r="Y833">
        <v>2280</v>
      </c>
      <c r="Z833">
        <v>1100</v>
      </c>
      <c r="AA833">
        <v>2380</v>
      </c>
      <c r="AB833" s="1">
        <v>5.97</v>
      </c>
    </row>
    <row r="834" customHeight="1" spans="2:28">
      <c r="B834" s="6" t="str">
        <f t="shared" ref="B834:B897" si="13">CONCATENATE(C834,"-",E834,"-",G834)</f>
        <v>43115-DT1EJ20250101-A-JIEU8018198-PARTS</v>
      </c>
      <c r="C834" t="s">
        <v>80</v>
      </c>
      <c r="D834" t="s">
        <v>81</v>
      </c>
      <c r="E834" t="s">
        <v>465</v>
      </c>
      <c r="F834" t="s">
        <v>466</v>
      </c>
      <c r="G834" s="1" t="s">
        <v>84</v>
      </c>
      <c r="I834" s="1" t="s">
        <v>85</v>
      </c>
      <c r="J834" s="1" t="s">
        <v>621</v>
      </c>
      <c r="K834" s="1" t="s">
        <v>622</v>
      </c>
      <c r="L834">
        <v>8708299009</v>
      </c>
      <c r="M834" s="2" t="s">
        <v>623</v>
      </c>
      <c r="N834" s="3" t="s">
        <v>624</v>
      </c>
      <c r="O834" s="1">
        <v>12</v>
      </c>
      <c r="P834" s="4">
        <v>22.02</v>
      </c>
      <c r="Q834" s="4">
        <v>21.24</v>
      </c>
      <c r="R834" s="4">
        <v>0.6</v>
      </c>
      <c r="S834" s="4">
        <v>23.84</v>
      </c>
      <c r="T834" s="5">
        <v>0.612</v>
      </c>
      <c r="U834" s="5">
        <v>7.344</v>
      </c>
      <c r="V834" s="5">
        <v>1.21</v>
      </c>
      <c r="W834" s="5">
        <v>14.52</v>
      </c>
      <c r="X834" s="4">
        <v>286.08</v>
      </c>
    </row>
    <row r="835" customHeight="1" spans="2:28">
      <c r="B835" s="6" t="str">
        <f t="shared" si="13"/>
        <v>43115-DT1EJ20250101-A-JIEU8018198-PARTS</v>
      </c>
      <c r="C835" t="s">
        <v>80</v>
      </c>
      <c r="D835" t="s">
        <v>81</v>
      </c>
      <c r="E835" t="s">
        <v>465</v>
      </c>
      <c r="F835" t="s">
        <v>466</v>
      </c>
      <c r="G835" s="1" t="s">
        <v>84</v>
      </c>
      <c r="I835" s="1" t="s">
        <v>85</v>
      </c>
      <c r="J835" s="1" t="s">
        <v>621</v>
      </c>
      <c r="K835" s="1" t="s">
        <v>622</v>
      </c>
      <c r="L835">
        <v>8708299009</v>
      </c>
      <c r="M835" s="2" t="s">
        <v>623</v>
      </c>
      <c r="N835" s="3" t="s">
        <v>624</v>
      </c>
      <c r="O835" s="1">
        <v>12</v>
      </c>
      <c r="P835" s="4">
        <v>22.02</v>
      </c>
      <c r="Q835" s="4">
        <v>21.24</v>
      </c>
      <c r="R835" s="4">
        <v>0.6</v>
      </c>
      <c r="S835" s="4">
        <v>23.84</v>
      </c>
      <c r="T835" s="5">
        <v>0.612</v>
      </c>
      <c r="U835" s="5">
        <v>7.344</v>
      </c>
      <c r="V835" s="5">
        <v>1.21</v>
      </c>
      <c r="W835" s="5">
        <v>14.52</v>
      </c>
      <c r="X835" s="4">
        <v>286.08</v>
      </c>
    </row>
    <row r="836" customHeight="1" spans="2:28">
      <c r="B836" s="6" t="str">
        <f t="shared" si="13"/>
        <v>43115-DT1EJ20250101-A-JIEU8018198-PARTS</v>
      </c>
      <c r="C836" t="s">
        <v>80</v>
      </c>
      <c r="D836" t="s">
        <v>81</v>
      </c>
      <c r="E836" t="s">
        <v>465</v>
      </c>
      <c r="F836" t="s">
        <v>466</v>
      </c>
      <c r="G836" s="1" t="s">
        <v>84</v>
      </c>
      <c r="I836" s="1" t="s">
        <v>85</v>
      </c>
      <c r="J836" s="1" t="s">
        <v>621</v>
      </c>
      <c r="K836" s="1" t="s">
        <v>622</v>
      </c>
      <c r="L836">
        <v>8708299009</v>
      </c>
      <c r="M836" s="2" t="s">
        <v>623</v>
      </c>
      <c r="N836" s="3" t="s">
        <v>624</v>
      </c>
      <c r="O836" s="1">
        <v>12</v>
      </c>
      <c r="P836" s="4">
        <v>22.02</v>
      </c>
      <c r="Q836" s="4">
        <v>21.24</v>
      </c>
      <c r="R836" s="4">
        <v>0.6</v>
      </c>
      <c r="S836" s="4">
        <v>23.84</v>
      </c>
      <c r="T836" s="5">
        <v>0.612</v>
      </c>
      <c r="U836" s="5">
        <v>7.344</v>
      </c>
      <c r="V836" s="5">
        <v>1.21</v>
      </c>
      <c r="W836" s="5">
        <v>14.52</v>
      </c>
      <c r="X836" s="4">
        <v>286.08</v>
      </c>
    </row>
    <row r="837" customHeight="1" spans="2:28">
      <c r="B837" s="6" t="str">
        <f t="shared" si="13"/>
        <v>43115-DT1EJ20250101-A-JIEU8018198-PARTS</v>
      </c>
      <c r="C837" t="s">
        <v>80</v>
      </c>
      <c r="D837" t="s">
        <v>81</v>
      </c>
      <c r="E837" t="s">
        <v>465</v>
      </c>
      <c r="F837" t="s">
        <v>466</v>
      </c>
      <c r="G837" s="1" t="s">
        <v>84</v>
      </c>
      <c r="I837" s="1" t="s">
        <v>85</v>
      </c>
      <c r="J837" s="1" t="s">
        <v>621</v>
      </c>
      <c r="K837" s="1" t="s">
        <v>622</v>
      </c>
      <c r="L837">
        <v>8708299009</v>
      </c>
      <c r="M837" s="2" t="s">
        <v>623</v>
      </c>
      <c r="N837" s="3" t="s">
        <v>624</v>
      </c>
      <c r="O837" s="1">
        <v>12</v>
      </c>
      <c r="P837" s="4">
        <v>22.02</v>
      </c>
      <c r="Q837" s="4">
        <v>21.24</v>
      </c>
      <c r="R837" s="4">
        <v>0.6</v>
      </c>
      <c r="S837" s="4">
        <v>23.84</v>
      </c>
      <c r="T837" s="5">
        <v>0.612</v>
      </c>
      <c r="U837" s="5">
        <v>7.344</v>
      </c>
      <c r="V837" s="5">
        <v>1.21</v>
      </c>
      <c r="W837" s="5">
        <v>14.52</v>
      </c>
      <c r="X837" s="4">
        <v>286.08</v>
      </c>
    </row>
    <row r="838" customHeight="1" spans="2:28">
      <c r="B838" s="6" t="str">
        <f t="shared" si="13"/>
        <v>43115-DT1EJ20250101-A-JIEU8018198-PARTS</v>
      </c>
      <c r="C838" t="s">
        <v>80</v>
      </c>
      <c r="D838" t="s">
        <v>81</v>
      </c>
      <c r="E838" t="s">
        <v>465</v>
      </c>
      <c r="F838" t="s">
        <v>466</v>
      </c>
      <c r="G838" s="1" t="s">
        <v>84</v>
      </c>
      <c r="I838" s="1" t="s">
        <v>85</v>
      </c>
      <c r="J838" s="1" t="s">
        <v>621</v>
      </c>
      <c r="K838" s="1" t="s">
        <v>622</v>
      </c>
      <c r="L838">
        <v>8708299009</v>
      </c>
      <c r="M838" s="2" t="s">
        <v>623</v>
      </c>
      <c r="N838" s="3" t="s">
        <v>624</v>
      </c>
      <c r="O838" s="1">
        <v>12</v>
      </c>
      <c r="P838" s="4">
        <v>22.02</v>
      </c>
      <c r="Q838" s="4">
        <v>21.24</v>
      </c>
      <c r="R838" s="4">
        <v>0.6</v>
      </c>
      <c r="S838" s="4">
        <v>23.84</v>
      </c>
      <c r="T838" s="5">
        <v>0.612</v>
      </c>
      <c r="U838" s="5">
        <v>7.344</v>
      </c>
      <c r="V838" s="5">
        <v>1.21</v>
      </c>
      <c r="W838" s="5">
        <v>14.52</v>
      </c>
      <c r="X838" s="4">
        <v>286.08</v>
      </c>
    </row>
    <row r="839" customHeight="1" spans="2:28">
      <c r="B839" s="6" t="str">
        <f t="shared" si="13"/>
        <v>43115-DT1EJ20250101-A-JIEU8018198-PARTS</v>
      </c>
      <c r="C839" t="s">
        <v>80</v>
      </c>
      <c r="D839" t="s">
        <v>81</v>
      </c>
      <c r="E839" t="s">
        <v>465</v>
      </c>
      <c r="F839" t="s">
        <v>466</v>
      </c>
      <c r="G839" s="1" t="s">
        <v>84</v>
      </c>
      <c r="I839" s="1" t="s">
        <v>85</v>
      </c>
      <c r="J839" s="1" t="s">
        <v>621</v>
      </c>
      <c r="K839" s="1" t="s">
        <v>622</v>
      </c>
      <c r="L839">
        <v>8708299009</v>
      </c>
      <c r="M839" s="2" t="s">
        <v>623</v>
      </c>
      <c r="N839" s="3" t="s">
        <v>624</v>
      </c>
      <c r="O839" s="1">
        <v>12</v>
      </c>
      <c r="P839" s="4">
        <v>22.02</v>
      </c>
      <c r="Q839" s="4">
        <v>21.24</v>
      </c>
      <c r="R839" s="4">
        <v>0.6</v>
      </c>
      <c r="S839" s="4">
        <v>23.84</v>
      </c>
      <c r="T839" s="5">
        <v>0.612</v>
      </c>
      <c r="U839" s="5">
        <v>7.344</v>
      </c>
      <c r="V839" s="5">
        <v>1.21</v>
      </c>
      <c r="W839" s="5">
        <v>14.52</v>
      </c>
      <c r="X839" s="4">
        <v>286.08</v>
      </c>
    </row>
    <row r="840" customHeight="1" spans="2:28">
      <c r="B840" s="6" t="str">
        <f t="shared" si="13"/>
        <v>43115-DT1EJ20250101-A-JIEU8018198-PARTS</v>
      </c>
      <c r="C840" t="s">
        <v>80</v>
      </c>
      <c r="D840" t="s">
        <v>81</v>
      </c>
      <c r="E840" t="s">
        <v>465</v>
      </c>
      <c r="F840" t="s">
        <v>466</v>
      </c>
      <c r="G840" s="1" t="s">
        <v>84</v>
      </c>
      <c r="I840" s="1" t="s">
        <v>85</v>
      </c>
      <c r="J840" s="1" t="s">
        <v>621</v>
      </c>
      <c r="K840" s="1" t="s">
        <v>622</v>
      </c>
      <c r="L840">
        <v>8708299009</v>
      </c>
      <c r="M840" s="2" t="s">
        <v>623</v>
      </c>
      <c r="N840" s="3" t="s">
        <v>624</v>
      </c>
      <c r="O840" s="1">
        <v>12</v>
      </c>
      <c r="P840" s="4">
        <v>22.02</v>
      </c>
      <c r="Q840" s="4">
        <v>21.24</v>
      </c>
      <c r="R840" s="4">
        <v>0.6</v>
      </c>
      <c r="S840" s="4">
        <v>23.84</v>
      </c>
      <c r="T840" s="5">
        <v>0.612</v>
      </c>
      <c r="U840" s="5">
        <v>7.344</v>
      </c>
      <c r="V840" s="5">
        <v>1.21</v>
      </c>
      <c r="W840" s="5">
        <v>14.52</v>
      </c>
      <c r="X840" s="4">
        <v>286.08</v>
      </c>
    </row>
    <row r="841" customHeight="1" spans="2:28">
      <c r="B841" s="6" t="str">
        <f t="shared" si="13"/>
        <v>43115-DT1EJ20250101-A-JIEU8018198-PARTS</v>
      </c>
      <c r="C841" t="s">
        <v>80</v>
      </c>
      <c r="D841" t="s">
        <v>81</v>
      </c>
      <c r="E841" t="s">
        <v>465</v>
      </c>
      <c r="F841" t="s">
        <v>466</v>
      </c>
      <c r="G841" s="1" t="s">
        <v>84</v>
      </c>
      <c r="I841" s="1" t="s">
        <v>85</v>
      </c>
      <c r="J841" s="1" t="s">
        <v>621</v>
      </c>
      <c r="K841" s="1" t="s">
        <v>622</v>
      </c>
      <c r="L841">
        <v>8708299009</v>
      </c>
      <c r="M841" s="2" t="s">
        <v>623</v>
      </c>
      <c r="N841" s="3" t="s">
        <v>624</v>
      </c>
      <c r="O841" s="1">
        <v>12</v>
      </c>
      <c r="P841" s="4">
        <v>22.02</v>
      </c>
      <c r="Q841" s="4">
        <v>21.24</v>
      </c>
      <c r="R841" s="4">
        <v>0.6</v>
      </c>
      <c r="S841" s="4">
        <v>23.84</v>
      </c>
      <c r="T841" s="5">
        <v>0.612</v>
      </c>
      <c r="U841" s="5">
        <v>7.344</v>
      </c>
      <c r="V841" s="5">
        <v>1.21</v>
      </c>
      <c r="W841" s="5">
        <v>14.52</v>
      </c>
      <c r="X841" s="4">
        <v>286.08</v>
      </c>
    </row>
    <row r="842" customHeight="1" spans="2:28">
      <c r="B842" s="6" t="str">
        <f t="shared" si="13"/>
        <v>43115-DT1EJ20250101-A-JIEU8018198-PARTS</v>
      </c>
      <c r="C842" t="s">
        <v>80</v>
      </c>
      <c r="D842" t="s">
        <v>81</v>
      </c>
      <c r="E842" t="s">
        <v>465</v>
      </c>
      <c r="F842" t="s">
        <v>466</v>
      </c>
      <c r="G842" s="1" t="s">
        <v>84</v>
      </c>
      <c r="I842" s="1" t="s">
        <v>85</v>
      </c>
      <c r="J842" s="1" t="s">
        <v>621</v>
      </c>
      <c r="K842" s="1" t="s">
        <v>622</v>
      </c>
      <c r="L842">
        <v>8708299009</v>
      </c>
      <c r="M842" s="2" t="s">
        <v>623</v>
      </c>
      <c r="N842" s="3" t="s">
        <v>624</v>
      </c>
      <c r="O842" s="1">
        <v>12</v>
      </c>
      <c r="P842" s="4">
        <v>22.02</v>
      </c>
      <c r="Q842" s="4">
        <v>21.24</v>
      </c>
      <c r="R842" s="4">
        <v>0.6</v>
      </c>
      <c r="S842" s="4">
        <v>23.84</v>
      </c>
      <c r="T842" s="5">
        <v>0.612</v>
      </c>
      <c r="U842" s="5">
        <v>7.344</v>
      </c>
      <c r="V842" s="5">
        <v>1.21</v>
      </c>
      <c r="W842" s="5">
        <v>14.52</v>
      </c>
      <c r="X842" s="4">
        <v>286.08</v>
      </c>
    </row>
    <row r="843" customHeight="1" spans="2:28">
      <c r="B843" s="6" t="str">
        <f t="shared" si="13"/>
        <v>43115-DT1EJ20250101-A-JIEU8018198-PARTS</v>
      </c>
      <c r="C843" t="s">
        <v>80</v>
      </c>
      <c r="D843" t="s">
        <v>81</v>
      </c>
      <c r="E843" t="s">
        <v>465</v>
      </c>
      <c r="F843" t="s">
        <v>466</v>
      </c>
      <c r="G843" s="1" t="s">
        <v>84</v>
      </c>
      <c r="I843" s="1" t="s">
        <v>85</v>
      </c>
      <c r="J843" s="1" t="s">
        <v>621</v>
      </c>
      <c r="K843" s="1" t="s">
        <v>625</v>
      </c>
      <c r="L843">
        <v>8708299009</v>
      </c>
      <c r="M843" s="2" t="s">
        <v>626</v>
      </c>
      <c r="N843" s="3" t="s">
        <v>627</v>
      </c>
      <c r="O843" s="1">
        <v>12</v>
      </c>
      <c r="P843" s="4">
        <v>22.02</v>
      </c>
      <c r="Q843" s="4">
        <v>21.24</v>
      </c>
      <c r="R843" s="4">
        <v>0.6</v>
      </c>
      <c r="S843" s="4">
        <v>23.84</v>
      </c>
      <c r="T843" s="5">
        <v>0.483</v>
      </c>
      <c r="U843" s="5">
        <v>5.796</v>
      </c>
      <c r="V843" s="5">
        <v>0.96</v>
      </c>
      <c r="W843" s="5">
        <v>11.52</v>
      </c>
      <c r="X843" s="4">
        <v>286.08</v>
      </c>
    </row>
    <row r="844" customHeight="1" spans="2:28">
      <c r="B844" s="6" t="str">
        <f t="shared" si="13"/>
        <v>43115-DT1EJ20250101-A-JIEU8018198-PARTS</v>
      </c>
      <c r="C844" t="s">
        <v>80</v>
      </c>
      <c r="D844" t="s">
        <v>81</v>
      </c>
      <c r="E844" t="s">
        <v>465</v>
      </c>
      <c r="F844" t="s">
        <v>466</v>
      </c>
      <c r="G844" s="1" t="s">
        <v>84</v>
      </c>
      <c r="I844" s="1" t="s">
        <v>85</v>
      </c>
      <c r="J844" s="1" t="s">
        <v>621</v>
      </c>
      <c r="K844" s="1" t="s">
        <v>625</v>
      </c>
      <c r="L844">
        <v>8708299009</v>
      </c>
      <c r="M844" s="2" t="s">
        <v>626</v>
      </c>
      <c r="N844" s="3" t="s">
        <v>627</v>
      </c>
      <c r="O844" s="1">
        <v>12</v>
      </c>
      <c r="P844" s="4">
        <v>22.02</v>
      </c>
      <c r="Q844" s="4">
        <v>21.24</v>
      </c>
      <c r="R844" s="4">
        <v>0.6</v>
      </c>
      <c r="S844" s="4">
        <v>23.84</v>
      </c>
      <c r="T844" s="5">
        <v>0.483</v>
      </c>
      <c r="U844" s="5">
        <v>5.796</v>
      </c>
      <c r="V844" s="5">
        <v>0.96</v>
      </c>
      <c r="W844" s="5">
        <v>11.52</v>
      </c>
      <c r="X844" s="4">
        <v>286.08</v>
      </c>
    </row>
    <row r="845" customHeight="1" spans="2:28">
      <c r="B845" s="6" t="str">
        <f t="shared" si="13"/>
        <v>43115-DT1EJ20250101-A-JIEU8018198-PARTS</v>
      </c>
      <c r="C845" t="s">
        <v>80</v>
      </c>
      <c r="D845" t="s">
        <v>81</v>
      </c>
      <c r="E845" t="s">
        <v>465</v>
      </c>
      <c r="F845" t="s">
        <v>466</v>
      </c>
      <c r="G845" s="1" t="s">
        <v>84</v>
      </c>
      <c r="I845" s="1" t="s">
        <v>85</v>
      </c>
      <c r="J845" s="1" t="s">
        <v>621</v>
      </c>
      <c r="K845" s="1" t="s">
        <v>625</v>
      </c>
      <c r="L845">
        <v>8708299009</v>
      </c>
      <c r="M845" s="2" t="s">
        <v>626</v>
      </c>
      <c r="N845" s="3" t="s">
        <v>627</v>
      </c>
      <c r="O845" s="1">
        <v>12</v>
      </c>
      <c r="P845" s="4">
        <v>22.02</v>
      </c>
      <c r="Q845" s="4">
        <v>21.24</v>
      </c>
      <c r="R845" s="4">
        <v>0.6</v>
      </c>
      <c r="S845" s="4">
        <v>23.84</v>
      </c>
      <c r="T845" s="5">
        <v>0.483</v>
      </c>
      <c r="U845" s="5">
        <v>5.796</v>
      </c>
      <c r="V845" s="5">
        <v>0.96</v>
      </c>
      <c r="W845" s="5">
        <v>11.52</v>
      </c>
      <c r="X845" s="4">
        <v>286.08</v>
      </c>
    </row>
    <row r="846" customHeight="1" spans="2:28">
      <c r="B846" s="6" t="str">
        <f t="shared" si="13"/>
        <v>43115-DT1EJ20250101-A-JIEU8018198-PARTS</v>
      </c>
      <c r="C846" t="s">
        <v>80</v>
      </c>
      <c r="D846" t="s">
        <v>81</v>
      </c>
      <c r="E846" t="s">
        <v>465</v>
      </c>
      <c r="F846" t="s">
        <v>466</v>
      </c>
      <c r="G846" s="1" t="s">
        <v>84</v>
      </c>
      <c r="I846" s="1" t="s">
        <v>85</v>
      </c>
      <c r="J846" s="1" t="s">
        <v>621</v>
      </c>
      <c r="K846" s="1" t="s">
        <v>625</v>
      </c>
      <c r="L846">
        <v>8708299009</v>
      </c>
      <c r="M846" s="2" t="s">
        <v>626</v>
      </c>
      <c r="N846" s="3" t="s">
        <v>627</v>
      </c>
      <c r="O846" s="1">
        <v>12</v>
      </c>
      <c r="P846" s="4">
        <v>22.02</v>
      </c>
      <c r="Q846" s="4">
        <v>21.24</v>
      </c>
      <c r="R846" s="4">
        <v>0.6</v>
      </c>
      <c r="S846" s="4">
        <v>23.84</v>
      </c>
      <c r="T846" s="5">
        <v>0.483</v>
      </c>
      <c r="U846" s="5">
        <v>5.796</v>
      </c>
      <c r="V846" s="5">
        <v>0.96</v>
      </c>
      <c r="W846" s="5">
        <v>11.52</v>
      </c>
      <c r="X846" s="4">
        <v>286.08</v>
      </c>
    </row>
    <row r="847" customHeight="1" spans="2:28">
      <c r="B847" s="6" t="str">
        <f t="shared" si="13"/>
        <v>43115-DT1EJ20250101-A-JIEU8018198-PARTS</v>
      </c>
      <c r="C847" t="s">
        <v>80</v>
      </c>
      <c r="D847" t="s">
        <v>81</v>
      </c>
      <c r="E847" t="s">
        <v>465</v>
      </c>
      <c r="F847" t="s">
        <v>466</v>
      </c>
      <c r="G847" s="1" t="s">
        <v>84</v>
      </c>
      <c r="I847" s="1" t="s">
        <v>85</v>
      </c>
      <c r="J847" s="1" t="s">
        <v>621</v>
      </c>
      <c r="K847" s="1" t="s">
        <v>625</v>
      </c>
      <c r="L847">
        <v>8708299009</v>
      </c>
      <c r="M847" s="2" t="s">
        <v>626</v>
      </c>
      <c r="N847" s="3" t="s">
        <v>627</v>
      </c>
      <c r="O847" s="1">
        <v>12</v>
      </c>
      <c r="P847" s="4">
        <v>22.02</v>
      </c>
      <c r="Q847" s="4">
        <v>21.24</v>
      </c>
      <c r="R847" s="4">
        <v>0.6</v>
      </c>
      <c r="S847" s="4">
        <v>23.84</v>
      </c>
      <c r="T847" s="5">
        <v>0.483</v>
      </c>
      <c r="U847" s="5">
        <v>5.796</v>
      </c>
      <c r="V847" s="5">
        <v>0.96</v>
      </c>
      <c r="W847" s="5">
        <v>11.52</v>
      </c>
      <c r="X847" s="4">
        <v>286.08</v>
      </c>
    </row>
    <row r="848" customHeight="1" spans="2:28">
      <c r="B848" s="6" t="str">
        <f t="shared" si="13"/>
        <v>43115-DT1EJ20250101-A-JIEU8018198-PARTS</v>
      </c>
      <c r="C848" t="s">
        <v>80</v>
      </c>
      <c r="D848" t="s">
        <v>81</v>
      </c>
      <c r="E848" t="s">
        <v>465</v>
      </c>
      <c r="F848" t="s">
        <v>466</v>
      </c>
      <c r="G848" s="1" t="s">
        <v>84</v>
      </c>
      <c r="I848" s="1" t="s">
        <v>85</v>
      </c>
      <c r="J848" s="1" t="s">
        <v>621</v>
      </c>
      <c r="K848" s="1" t="s">
        <v>625</v>
      </c>
      <c r="L848">
        <v>8708299009</v>
      </c>
      <c r="M848" s="2" t="s">
        <v>626</v>
      </c>
      <c r="N848" s="3" t="s">
        <v>627</v>
      </c>
      <c r="O848" s="1">
        <v>12</v>
      </c>
      <c r="P848" s="4">
        <v>22.02</v>
      </c>
      <c r="Q848" s="4">
        <v>21.24</v>
      </c>
      <c r="R848" s="4">
        <v>0.6</v>
      </c>
      <c r="S848" s="4">
        <v>23.84</v>
      </c>
      <c r="T848" s="5">
        <v>0.483</v>
      </c>
      <c r="U848" s="5">
        <v>5.796</v>
      </c>
      <c r="V848" s="5">
        <v>0.96</v>
      </c>
      <c r="W848" s="5">
        <v>11.52</v>
      </c>
      <c r="X848" s="4">
        <v>286.08</v>
      </c>
    </row>
    <row r="849" customHeight="1" spans="2:28">
      <c r="B849" s="6" t="str">
        <f t="shared" si="13"/>
        <v>43115-DT1EJ20250101-A-JIEU8018198-PARTS</v>
      </c>
      <c r="C849" t="s">
        <v>80</v>
      </c>
      <c r="D849" t="s">
        <v>81</v>
      </c>
      <c r="E849" t="s">
        <v>465</v>
      </c>
      <c r="F849" t="s">
        <v>466</v>
      </c>
      <c r="G849" s="1" t="s">
        <v>84</v>
      </c>
      <c r="I849" s="1" t="s">
        <v>85</v>
      </c>
      <c r="J849" s="1" t="s">
        <v>621</v>
      </c>
      <c r="K849" s="1" t="s">
        <v>625</v>
      </c>
      <c r="L849">
        <v>8708299009</v>
      </c>
      <c r="M849" s="2" t="s">
        <v>626</v>
      </c>
      <c r="N849" s="3" t="s">
        <v>627</v>
      </c>
      <c r="O849" s="1">
        <v>12</v>
      </c>
      <c r="P849" s="4">
        <v>22.02</v>
      </c>
      <c r="Q849" s="4">
        <v>21.24</v>
      </c>
      <c r="R849" s="4">
        <v>0.6</v>
      </c>
      <c r="S849" s="4">
        <v>23.84</v>
      </c>
      <c r="T849" s="5">
        <v>0.483</v>
      </c>
      <c r="U849" s="5">
        <v>5.796</v>
      </c>
      <c r="V849" s="5">
        <v>0.96</v>
      </c>
      <c r="W849" s="5">
        <v>11.52</v>
      </c>
      <c r="X849" s="4">
        <v>286.08</v>
      </c>
    </row>
    <row r="850" customHeight="1" spans="2:28">
      <c r="B850" s="6" t="str">
        <f t="shared" si="13"/>
        <v>43115-DT1EJ20250101-A-JIEU8018198-PARTS</v>
      </c>
      <c r="C850" t="s">
        <v>80</v>
      </c>
      <c r="D850" t="s">
        <v>81</v>
      </c>
      <c r="E850" t="s">
        <v>465</v>
      </c>
      <c r="F850" t="s">
        <v>466</v>
      </c>
      <c r="G850" s="1" t="s">
        <v>84</v>
      </c>
      <c r="I850" s="1" t="s">
        <v>85</v>
      </c>
      <c r="J850" s="1" t="s">
        <v>621</v>
      </c>
      <c r="K850" s="1" t="s">
        <v>625</v>
      </c>
      <c r="L850">
        <v>8708299009</v>
      </c>
      <c r="M850" s="2" t="s">
        <v>626</v>
      </c>
      <c r="N850" s="3" t="s">
        <v>627</v>
      </c>
      <c r="O850" s="1">
        <v>12</v>
      </c>
      <c r="P850" s="4">
        <v>22.02</v>
      </c>
      <c r="Q850" s="4">
        <v>21.24</v>
      </c>
      <c r="R850" s="4">
        <v>0.6</v>
      </c>
      <c r="S850" s="4">
        <v>23.84</v>
      </c>
      <c r="T850" s="5">
        <v>0.483</v>
      </c>
      <c r="U850" s="5">
        <v>5.796</v>
      </c>
      <c r="V850" s="5">
        <v>0.96</v>
      </c>
      <c r="W850" s="5">
        <v>11.52</v>
      </c>
      <c r="X850" s="4">
        <v>286.08</v>
      </c>
    </row>
    <row r="851" customHeight="1" spans="2:28">
      <c r="B851" s="6" t="str">
        <f t="shared" si="13"/>
        <v>43115-DT1EJ20250101-A-JIEU8018198-PARTS</v>
      </c>
      <c r="C851" t="s">
        <v>80</v>
      </c>
      <c r="D851" t="s">
        <v>81</v>
      </c>
      <c r="E851" t="s">
        <v>465</v>
      </c>
      <c r="F851" t="s">
        <v>466</v>
      </c>
      <c r="G851" s="1" t="s">
        <v>84</v>
      </c>
      <c r="I851" s="1" t="s">
        <v>85</v>
      </c>
      <c r="J851" s="1" t="s">
        <v>621</v>
      </c>
      <c r="K851" s="1" t="s">
        <v>625</v>
      </c>
      <c r="L851">
        <v>8708299009</v>
      </c>
      <c r="M851" s="2" t="s">
        <v>626</v>
      </c>
      <c r="N851" s="3" t="s">
        <v>627</v>
      </c>
      <c r="O851" s="1">
        <v>12</v>
      </c>
      <c r="P851" s="4">
        <v>22.02</v>
      </c>
      <c r="Q851" s="4">
        <v>21.24</v>
      </c>
      <c r="R851" s="4">
        <v>0.6</v>
      </c>
      <c r="S851" s="4">
        <v>23.84</v>
      </c>
      <c r="T851" s="5">
        <v>0.483</v>
      </c>
      <c r="U851" s="5">
        <v>5.796</v>
      </c>
      <c r="V851" s="5">
        <v>0.96</v>
      </c>
      <c r="W851" s="5">
        <v>11.52</v>
      </c>
      <c r="X851" s="4">
        <v>286.08</v>
      </c>
    </row>
    <row r="852" customHeight="1" spans="2:28">
      <c r="B852" s="6" t="str">
        <f t="shared" si="13"/>
        <v>43115-DT1EJ20250101-A-JIEU8018198-PARTS</v>
      </c>
      <c r="C852" t="s">
        <v>80</v>
      </c>
      <c r="D852" t="s">
        <v>81</v>
      </c>
      <c r="E852" t="s">
        <v>465</v>
      </c>
      <c r="F852" t="s">
        <v>466</v>
      </c>
      <c r="G852" s="1" t="s">
        <v>84</v>
      </c>
      <c r="I852" s="1" t="s">
        <v>85</v>
      </c>
      <c r="J852" s="1" t="s">
        <v>621</v>
      </c>
      <c r="K852" s="1" t="s">
        <v>625</v>
      </c>
      <c r="L852">
        <v>8708299009</v>
      </c>
      <c r="M852" s="2" t="s">
        <v>626</v>
      </c>
      <c r="N852" s="3" t="s">
        <v>627</v>
      </c>
      <c r="O852" s="1">
        <v>12</v>
      </c>
      <c r="P852" s="4">
        <v>22.02</v>
      </c>
      <c r="Q852" s="4">
        <v>21.24</v>
      </c>
      <c r="R852" s="4">
        <v>0.6</v>
      </c>
      <c r="S852" s="4">
        <v>23.84</v>
      </c>
      <c r="T852" s="5">
        <v>0.483</v>
      </c>
      <c r="U852" s="5">
        <v>5.796</v>
      </c>
      <c r="V852" s="5">
        <v>0.96</v>
      </c>
      <c r="W852" s="5">
        <v>11.52</v>
      </c>
      <c r="X852" s="4">
        <v>286.08</v>
      </c>
    </row>
    <row r="853" customHeight="1" spans="2:28">
      <c r="B853" s="6" t="str">
        <f t="shared" si="13"/>
        <v>43115-DT1EJ20250101-A-JIEU8018198-PARTS</v>
      </c>
      <c r="C853" t="s">
        <v>80</v>
      </c>
      <c r="D853" t="s">
        <v>81</v>
      </c>
      <c r="E853" t="s">
        <v>465</v>
      </c>
      <c r="F853" t="s">
        <v>466</v>
      </c>
      <c r="G853" s="1" t="s">
        <v>84</v>
      </c>
      <c r="I853" s="1" t="s">
        <v>85</v>
      </c>
      <c r="J853" s="1" t="s">
        <v>628</v>
      </c>
      <c r="K853" s="1" t="s">
        <v>431</v>
      </c>
      <c r="L853">
        <v>8407349908</v>
      </c>
      <c r="M853" s="2" t="s">
        <v>432</v>
      </c>
      <c r="N853" s="3" t="s">
        <v>433</v>
      </c>
      <c r="O853" s="1">
        <v>3</v>
      </c>
      <c r="P853" s="4">
        <v>12116.7</v>
      </c>
      <c r="Q853" s="4">
        <v>2913.63</v>
      </c>
      <c r="R853" s="4">
        <v>80.85</v>
      </c>
      <c r="S853" s="4">
        <v>13114.86</v>
      </c>
      <c r="T853" s="5">
        <v>128</v>
      </c>
      <c r="U853" s="5">
        <v>384</v>
      </c>
      <c r="V853" s="5">
        <v>138.33</v>
      </c>
      <c r="W853" s="5">
        <v>414.99</v>
      </c>
      <c r="X853" s="4">
        <v>39344.58</v>
      </c>
      <c r="Y853">
        <v>2280</v>
      </c>
      <c r="Z853">
        <v>685</v>
      </c>
      <c r="AA853">
        <v>825</v>
      </c>
      <c r="AB853" s="1">
        <v>1.29</v>
      </c>
    </row>
    <row r="854" customHeight="1" spans="2:28">
      <c r="B854" s="6" t="str">
        <f t="shared" si="13"/>
        <v>43115-DT1EJ20250101-A-JIEU8018198-PARTS</v>
      </c>
      <c r="C854" t="s">
        <v>80</v>
      </c>
      <c r="D854" t="s">
        <v>81</v>
      </c>
      <c r="E854" t="s">
        <v>465</v>
      </c>
      <c r="F854" t="s">
        <v>466</v>
      </c>
      <c r="G854" s="1" t="s">
        <v>84</v>
      </c>
      <c r="I854" s="1" t="s">
        <v>85</v>
      </c>
      <c r="J854" s="1" t="s">
        <v>629</v>
      </c>
      <c r="K854" s="1" t="s">
        <v>431</v>
      </c>
      <c r="L854">
        <v>8407349908</v>
      </c>
      <c r="M854" s="2" t="s">
        <v>432</v>
      </c>
      <c r="N854" s="3" t="s">
        <v>433</v>
      </c>
      <c r="O854" s="1">
        <v>3</v>
      </c>
      <c r="P854" s="4">
        <v>12116.7</v>
      </c>
      <c r="Q854" s="4">
        <v>2913.63</v>
      </c>
      <c r="R854" s="4">
        <v>80.85</v>
      </c>
      <c r="S854" s="4">
        <v>13114.86</v>
      </c>
      <c r="T854" s="5">
        <v>128</v>
      </c>
      <c r="U854" s="5">
        <v>384</v>
      </c>
      <c r="V854" s="5">
        <v>138.33</v>
      </c>
      <c r="W854" s="5">
        <v>414.99</v>
      </c>
      <c r="X854" s="4">
        <v>39344.58</v>
      </c>
      <c r="Y854">
        <v>2280</v>
      </c>
      <c r="Z854">
        <v>685</v>
      </c>
      <c r="AA854">
        <v>825</v>
      </c>
      <c r="AB854" s="1">
        <v>1.29</v>
      </c>
    </row>
    <row r="855" customHeight="1" spans="2:28">
      <c r="B855" s="6" t="str">
        <f t="shared" si="13"/>
        <v>43115-DT1EJ20250101-A-JIEU8018198-PARTS</v>
      </c>
      <c r="C855" t="s">
        <v>80</v>
      </c>
      <c r="D855" t="s">
        <v>81</v>
      </c>
      <c r="E855" t="s">
        <v>465</v>
      </c>
      <c r="F855" t="s">
        <v>466</v>
      </c>
      <c r="G855" s="1" t="s">
        <v>84</v>
      </c>
      <c r="I855" s="1" t="s">
        <v>85</v>
      </c>
      <c r="J855" s="1" t="s">
        <v>630</v>
      </c>
      <c r="K855" s="1" t="s">
        <v>431</v>
      </c>
      <c r="L855">
        <v>8407349908</v>
      </c>
      <c r="M855" s="2" t="s">
        <v>432</v>
      </c>
      <c r="N855" s="3" t="s">
        <v>433</v>
      </c>
      <c r="O855" s="1">
        <v>3</v>
      </c>
      <c r="P855" s="4">
        <v>12116.7</v>
      </c>
      <c r="Q855" s="4">
        <v>2913.63</v>
      </c>
      <c r="R855" s="4">
        <v>80.85</v>
      </c>
      <c r="S855" s="4">
        <v>13114.86</v>
      </c>
      <c r="T855" s="5">
        <v>128</v>
      </c>
      <c r="U855" s="5">
        <v>384</v>
      </c>
      <c r="V855" s="5">
        <v>138.33</v>
      </c>
      <c r="W855" s="5">
        <v>414.99</v>
      </c>
      <c r="X855" s="4">
        <v>39344.58</v>
      </c>
      <c r="Y855">
        <v>2280</v>
      </c>
      <c r="Z855">
        <v>685</v>
      </c>
      <c r="AA855">
        <v>825</v>
      </c>
      <c r="AB855" s="1">
        <v>1.29</v>
      </c>
    </row>
    <row r="856" customHeight="1" spans="2:28">
      <c r="B856" s="6" t="str">
        <f t="shared" si="13"/>
        <v>43115-DT1EJ20250101-A-JIEU8018198-PARTS</v>
      </c>
      <c r="C856" t="s">
        <v>80</v>
      </c>
      <c r="D856" t="s">
        <v>81</v>
      </c>
      <c r="E856" t="s">
        <v>465</v>
      </c>
      <c r="F856" t="s">
        <v>466</v>
      </c>
      <c r="G856" s="1" t="s">
        <v>84</v>
      </c>
      <c r="I856" s="1" t="s">
        <v>85</v>
      </c>
      <c r="J856" s="1" t="s">
        <v>631</v>
      </c>
      <c r="K856" s="1" t="s">
        <v>431</v>
      </c>
      <c r="L856">
        <v>8407349908</v>
      </c>
      <c r="M856" s="2" t="s">
        <v>432</v>
      </c>
      <c r="N856" s="3" t="s">
        <v>433</v>
      </c>
      <c r="O856" s="1">
        <v>3</v>
      </c>
      <c r="P856" s="4">
        <v>12116.7</v>
      </c>
      <c r="Q856" s="4">
        <v>2913.63</v>
      </c>
      <c r="R856" s="4">
        <v>80.85</v>
      </c>
      <c r="S856" s="4">
        <v>13114.86</v>
      </c>
      <c r="T856" s="5">
        <v>128</v>
      </c>
      <c r="U856" s="5">
        <v>384</v>
      </c>
      <c r="V856" s="5">
        <v>138.33</v>
      </c>
      <c r="W856" s="5">
        <v>414.99</v>
      </c>
      <c r="X856" s="4">
        <v>39344.58</v>
      </c>
      <c r="Y856">
        <v>2280</v>
      </c>
      <c r="Z856">
        <v>685</v>
      </c>
      <c r="AA856">
        <v>825</v>
      </c>
      <c r="AB856" s="1">
        <v>1.29</v>
      </c>
    </row>
    <row r="857" customHeight="1" spans="2:28">
      <c r="B857" s="6" t="str">
        <f t="shared" si="13"/>
        <v>43115-DT1EJ20250101-A-JIEU8018198-PARTS</v>
      </c>
      <c r="C857" t="s">
        <v>80</v>
      </c>
      <c r="D857" t="s">
        <v>81</v>
      </c>
      <c r="E857" t="s">
        <v>465</v>
      </c>
      <c r="F857" t="s">
        <v>466</v>
      </c>
      <c r="G857" s="1" t="s">
        <v>84</v>
      </c>
      <c r="I857" s="1" t="s">
        <v>85</v>
      </c>
      <c r="J857" s="1" t="s">
        <v>632</v>
      </c>
      <c r="K857" s="1" t="s">
        <v>431</v>
      </c>
      <c r="L857">
        <v>8407349908</v>
      </c>
      <c r="M857" s="2" t="s">
        <v>432</v>
      </c>
      <c r="N857" s="3" t="s">
        <v>433</v>
      </c>
      <c r="O857" s="1">
        <v>3</v>
      </c>
      <c r="P857" s="4">
        <v>12116.7</v>
      </c>
      <c r="Q857" s="4">
        <v>2913.63</v>
      </c>
      <c r="R857" s="4">
        <v>80.85</v>
      </c>
      <c r="S857" s="4">
        <v>13114.86</v>
      </c>
      <c r="T857" s="5">
        <v>128</v>
      </c>
      <c r="U857" s="5">
        <v>384</v>
      </c>
      <c r="V857" s="5">
        <v>138.33</v>
      </c>
      <c r="W857" s="5">
        <v>414.99</v>
      </c>
      <c r="X857" s="4">
        <v>39344.58</v>
      </c>
      <c r="Y857">
        <v>2280</v>
      </c>
      <c r="Z857">
        <v>685</v>
      </c>
      <c r="AA857">
        <v>825</v>
      </c>
      <c r="AB857" s="1">
        <v>1.29</v>
      </c>
    </row>
    <row r="858" customHeight="1" spans="2:28">
      <c r="B858" s="6" t="str">
        <f t="shared" si="13"/>
        <v>43115-DT1EJ20250101-A-JIEU8018198-PARTS</v>
      </c>
      <c r="C858" t="s">
        <v>80</v>
      </c>
      <c r="D858" t="s">
        <v>81</v>
      </c>
      <c r="E858" t="s">
        <v>465</v>
      </c>
      <c r="F858" t="s">
        <v>466</v>
      </c>
      <c r="G858" s="1" t="s">
        <v>84</v>
      </c>
      <c r="I858" s="1" t="s">
        <v>85</v>
      </c>
      <c r="J858" s="1" t="s">
        <v>633</v>
      </c>
      <c r="K858" s="1" t="s">
        <v>431</v>
      </c>
      <c r="L858">
        <v>8407349908</v>
      </c>
      <c r="M858" s="2" t="s">
        <v>432</v>
      </c>
      <c r="N858" s="3" t="s">
        <v>433</v>
      </c>
      <c r="O858" s="1">
        <v>3</v>
      </c>
      <c r="P858" s="4">
        <v>12116.7</v>
      </c>
      <c r="Q858" s="4">
        <v>2913.63</v>
      </c>
      <c r="R858" s="4">
        <v>80.85</v>
      </c>
      <c r="S858" s="4">
        <v>13114.86</v>
      </c>
      <c r="T858" s="5">
        <v>128</v>
      </c>
      <c r="U858" s="5">
        <v>384</v>
      </c>
      <c r="V858" s="5">
        <v>138.33</v>
      </c>
      <c r="W858" s="5">
        <v>414.99</v>
      </c>
      <c r="X858" s="4">
        <v>39344.58</v>
      </c>
      <c r="Y858">
        <v>2280</v>
      </c>
      <c r="Z858">
        <v>685</v>
      </c>
      <c r="AA858">
        <v>825</v>
      </c>
      <c r="AB858" s="1">
        <v>1.29</v>
      </c>
    </row>
    <row r="859" customHeight="1" spans="2:28">
      <c r="B859" s="6" t="str">
        <f t="shared" si="13"/>
        <v>43115-DT1EJ20250101-A-JIEU8018290-PARTS</v>
      </c>
      <c r="C859" s="29" t="s">
        <v>80</v>
      </c>
      <c r="D859" s="30" t="s">
        <v>81</v>
      </c>
      <c r="E859" s="30" t="s">
        <v>634</v>
      </c>
      <c r="F859" s="30" t="s">
        <v>635</v>
      </c>
      <c r="G859" s="31" t="s">
        <v>84</v>
      </c>
      <c r="H859" s="31"/>
      <c r="I859" s="31" t="s">
        <v>85</v>
      </c>
      <c r="J859" s="31" t="s">
        <v>636</v>
      </c>
      <c r="K859" s="31" t="s">
        <v>87</v>
      </c>
      <c r="L859" s="31">
        <v>8708999709</v>
      </c>
      <c r="M859" s="32" t="s">
        <v>88</v>
      </c>
      <c r="N859" s="33" t="s">
        <v>89</v>
      </c>
      <c r="O859" s="31">
        <v>1</v>
      </c>
      <c r="P859" s="34">
        <v>831.11</v>
      </c>
      <c r="Q859" s="34">
        <v>66.62</v>
      </c>
      <c r="R859" s="34">
        <v>1.92</v>
      </c>
      <c r="S859" s="34">
        <v>899.65</v>
      </c>
      <c r="T859" s="35">
        <v>7.824</v>
      </c>
      <c r="U859" s="35">
        <v>7.824</v>
      </c>
      <c r="V859" s="35">
        <v>11.27</v>
      </c>
      <c r="W859" s="35">
        <v>11.27</v>
      </c>
      <c r="X859" s="34">
        <v>899.65</v>
      </c>
      <c r="Y859" s="31">
        <v>2280</v>
      </c>
      <c r="Z859" s="31">
        <v>1100</v>
      </c>
      <c r="AA859" s="31">
        <v>2420</v>
      </c>
      <c r="AB859" s="31">
        <v>6.07</v>
      </c>
    </row>
    <row r="860" customHeight="1" spans="2:28">
      <c r="B860" s="6" t="str">
        <f t="shared" si="13"/>
        <v>43115-DT1EJ20250101-A-JIEU8018290-PARTS</v>
      </c>
      <c r="C860" s="29" t="s">
        <v>80</v>
      </c>
      <c r="D860" s="30" t="s">
        <v>81</v>
      </c>
      <c r="E860" s="30" t="s">
        <v>634</v>
      </c>
      <c r="F860" s="30" t="s">
        <v>635</v>
      </c>
      <c r="G860" s="31" t="s">
        <v>84</v>
      </c>
      <c r="H860" s="31"/>
      <c r="I860" s="31" t="s">
        <v>85</v>
      </c>
      <c r="J860" s="31" t="s">
        <v>636</v>
      </c>
      <c r="K860" s="31" t="s">
        <v>90</v>
      </c>
      <c r="L860" s="31">
        <v>8708299009</v>
      </c>
      <c r="M860" s="32" t="s">
        <v>91</v>
      </c>
      <c r="N860" s="33" t="s">
        <v>92</v>
      </c>
      <c r="O860" s="31">
        <v>1</v>
      </c>
      <c r="P860" s="34">
        <v>20</v>
      </c>
      <c r="Q860" s="34">
        <v>1.6</v>
      </c>
      <c r="R860" s="34">
        <v>0.05</v>
      </c>
      <c r="S860" s="34">
        <v>21.65</v>
      </c>
      <c r="T860" s="35">
        <v>0.633</v>
      </c>
      <c r="U860" s="35">
        <v>0.633</v>
      </c>
      <c r="V860" s="35">
        <v>0.91</v>
      </c>
      <c r="W860" s="35">
        <v>0.91</v>
      </c>
      <c r="X860" s="34">
        <v>21.65</v>
      </c>
      <c r="Y860" s="31"/>
      <c r="Z860" s="31"/>
      <c r="AA860" s="31"/>
      <c r="AB860" s="31"/>
    </row>
    <row r="861" customHeight="1" spans="2:28">
      <c r="B861" s="6" t="str">
        <f t="shared" si="13"/>
        <v>43115-DT1EJ20250101-A-JIEU8018290-PARTS</v>
      </c>
      <c r="C861" s="29" t="s">
        <v>80</v>
      </c>
      <c r="D861" s="30" t="s">
        <v>81</v>
      </c>
      <c r="E861" s="30" t="s">
        <v>634</v>
      </c>
      <c r="F861" s="30" t="s">
        <v>635</v>
      </c>
      <c r="G861" s="31" t="s">
        <v>84</v>
      </c>
      <c r="H861" s="31"/>
      <c r="I861" s="31" t="s">
        <v>85</v>
      </c>
      <c r="J861" s="31" t="s">
        <v>636</v>
      </c>
      <c r="K861" s="31" t="s">
        <v>93</v>
      </c>
      <c r="L861" s="31">
        <v>8708299009</v>
      </c>
      <c r="M861" s="32" t="s">
        <v>94</v>
      </c>
      <c r="N861" s="33" t="s">
        <v>95</v>
      </c>
      <c r="O861" s="31">
        <v>1</v>
      </c>
      <c r="P861" s="34">
        <v>19.64</v>
      </c>
      <c r="Q861" s="34">
        <v>1.57</v>
      </c>
      <c r="R861" s="34">
        <v>0.05</v>
      </c>
      <c r="S861" s="34">
        <v>21.26</v>
      </c>
      <c r="T861" s="35">
        <v>0.622</v>
      </c>
      <c r="U861" s="35">
        <v>0.622</v>
      </c>
      <c r="V861" s="35">
        <v>0.9</v>
      </c>
      <c r="W861" s="35">
        <v>0.9</v>
      </c>
      <c r="X861" s="34">
        <v>21.26</v>
      </c>
      <c r="Y861" s="31"/>
      <c r="Z861" s="31"/>
      <c r="AA861" s="31"/>
      <c r="AB861" s="31"/>
    </row>
    <row r="862" customHeight="1" spans="2:28">
      <c r="B862" s="6" t="str">
        <f t="shared" si="13"/>
        <v>43115-DT1EJ20250101-A-JIEU8018290-PARTS</v>
      </c>
      <c r="C862" s="29" t="s">
        <v>80</v>
      </c>
      <c r="D862" s="30" t="s">
        <v>81</v>
      </c>
      <c r="E862" s="30" t="s">
        <v>634</v>
      </c>
      <c r="F862" s="30" t="s">
        <v>635</v>
      </c>
      <c r="G862" s="31" t="s">
        <v>84</v>
      </c>
      <c r="H862" s="31"/>
      <c r="I862" s="31" t="s">
        <v>85</v>
      </c>
      <c r="J862" s="31" t="s">
        <v>636</v>
      </c>
      <c r="K862" s="31" t="s">
        <v>87</v>
      </c>
      <c r="L862" s="31">
        <v>8708999709</v>
      </c>
      <c r="M862" s="32" t="s">
        <v>88</v>
      </c>
      <c r="N862" s="33" t="s">
        <v>89</v>
      </c>
      <c r="O862" s="31">
        <v>1</v>
      </c>
      <c r="P862" s="34">
        <v>831.11</v>
      </c>
      <c r="Q862" s="34">
        <v>66.62</v>
      </c>
      <c r="R862" s="34">
        <v>1.92</v>
      </c>
      <c r="S862" s="34">
        <v>899.65</v>
      </c>
      <c r="T862" s="35">
        <v>7.824</v>
      </c>
      <c r="U862" s="35">
        <v>7.824</v>
      </c>
      <c r="V862" s="35">
        <v>11.27</v>
      </c>
      <c r="W862" s="35">
        <v>11.27</v>
      </c>
      <c r="X862" s="34">
        <v>899.65</v>
      </c>
      <c r="Y862" s="31"/>
      <c r="Z862" s="31"/>
      <c r="AA862" s="31"/>
      <c r="AB862" s="31"/>
    </row>
    <row r="863" customHeight="1" spans="2:28">
      <c r="B863" s="6" t="str">
        <f t="shared" si="13"/>
        <v>43115-DT1EJ20250101-A-JIEU8018290-PARTS</v>
      </c>
      <c r="C863" s="29" t="s">
        <v>80</v>
      </c>
      <c r="D863" s="30" t="s">
        <v>81</v>
      </c>
      <c r="E863" s="30" t="s">
        <v>634</v>
      </c>
      <c r="F863" s="30" t="s">
        <v>635</v>
      </c>
      <c r="G863" s="31" t="s">
        <v>84</v>
      </c>
      <c r="H863" s="31"/>
      <c r="I863" s="31" t="s">
        <v>85</v>
      </c>
      <c r="J863" s="31" t="s">
        <v>636</v>
      </c>
      <c r="K863" s="31" t="s">
        <v>90</v>
      </c>
      <c r="L863" s="31">
        <v>8708299009</v>
      </c>
      <c r="M863" s="32" t="s">
        <v>91</v>
      </c>
      <c r="N863" s="33" t="s">
        <v>92</v>
      </c>
      <c r="O863" s="31">
        <v>1</v>
      </c>
      <c r="P863" s="34">
        <v>20</v>
      </c>
      <c r="Q863" s="34">
        <v>1.6</v>
      </c>
      <c r="R863" s="34">
        <v>0.05</v>
      </c>
      <c r="S863" s="34">
        <v>21.65</v>
      </c>
      <c r="T863" s="35">
        <v>0.633</v>
      </c>
      <c r="U863" s="35">
        <v>0.633</v>
      </c>
      <c r="V863" s="35">
        <v>0.91</v>
      </c>
      <c r="W863" s="35">
        <v>0.91</v>
      </c>
      <c r="X863" s="34">
        <v>21.65</v>
      </c>
      <c r="Y863" s="31"/>
      <c r="Z863" s="31"/>
      <c r="AA863" s="31"/>
      <c r="AB863" s="31"/>
    </row>
    <row r="864" customHeight="1" spans="2:28">
      <c r="B864" s="6" t="str">
        <f t="shared" si="13"/>
        <v>43115-DT1EJ20250101-A-JIEU8018290-PARTS</v>
      </c>
      <c r="C864" s="29" t="s">
        <v>80</v>
      </c>
      <c r="D864" s="30" t="s">
        <v>81</v>
      </c>
      <c r="E864" s="30" t="s">
        <v>634</v>
      </c>
      <c r="F864" s="30" t="s">
        <v>635</v>
      </c>
      <c r="G864" s="31" t="s">
        <v>84</v>
      </c>
      <c r="H864" s="31"/>
      <c r="I864" s="31" t="s">
        <v>85</v>
      </c>
      <c r="J864" s="31" t="s">
        <v>636</v>
      </c>
      <c r="K864" s="31" t="s">
        <v>93</v>
      </c>
      <c r="L864" s="31">
        <v>8708299009</v>
      </c>
      <c r="M864" s="32" t="s">
        <v>94</v>
      </c>
      <c r="N864" s="33" t="s">
        <v>95</v>
      </c>
      <c r="O864" s="31">
        <v>1</v>
      </c>
      <c r="P864" s="34">
        <v>19.64</v>
      </c>
      <c r="Q864" s="34">
        <v>1.57</v>
      </c>
      <c r="R864" s="34">
        <v>0.05</v>
      </c>
      <c r="S864" s="34">
        <v>21.26</v>
      </c>
      <c r="T864" s="35">
        <v>0.622</v>
      </c>
      <c r="U864" s="35">
        <v>0.622</v>
      </c>
      <c r="V864" s="35">
        <v>0.9</v>
      </c>
      <c r="W864" s="35">
        <v>0.9</v>
      </c>
      <c r="X864" s="34">
        <v>21.26</v>
      </c>
      <c r="Y864" s="31"/>
      <c r="Z864" s="31"/>
      <c r="AA864" s="31"/>
      <c r="AB864" s="31"/>
    </row>
    <row r="865" customHeight="1" spans="2:28">
      <c r="B865" s="6" t="str">
        <f t="shared" si="13"/>
        <v>43115-DT1EJ20250101-A-JIEU8018290-PARTS</v>
      </c>
      <c r="C865" s="29" t="s">
        <v>80</v>
      </c>
      <c r="D865" s="30" t="s">
        <v>81</v>
      </c>
      <c r="E865" s="30" t="s">
        <v>634</v>
      </c>
      <c r="F865" s="30" t="s">
        <v>635</v>
      </c>
      <c r="G865" s="31" t="s">
        <v>84</v>
      </c>
      <c r="H865" s="31"/>
      <c r="I865" s="31" t="s">
        <v>85</v>
      </c>
      <c r="J865" s="31" t="s">
        <v>636</v>
      </c>
      <c r="K865" s="31" t="s">
        <v>87</v>
      </c>
      <c r="L865" s="31">
        <v>8708999709</v>
      </c>
      <c r="M865" s="32" t="s">
        <v>88</v>
      </c>
      <c r="N865" s="33" t="s">
        <v>89</v>
      </c>
      <c r="O865" s="31">
        <v>1</v>
      </c>
      <c r="P865" s="34">
        <v>831.11</v>
      </c>
      <c r="Q865" s="34">
        <v>66.62</v>
      </c>
      <c r="R865" s="34">
        <v>1.92</v>
      </c>
      <c r="S865" s="34">
        <v>899.65</v>
      </c>
      <c r="T865" s="35">
        <v>7.824</v>
      </c>
      <c r="U865" s="35">
        <v>7.824</v>
      </c>
      <c r="V865" s="35">
        <v>11.27</v>
      </c>
      <c r="W865" s="35">
        <v>11.27</v>
      </c>
      <c r="X865" s="34">
        <v>899.65</v>
      </c>
      <c r="Y865" s="31"/>
      <c r="Z865" s="31"/>
      <c r="AA865" s="31"/>
      <c r="AB865" s="31"/>
    </row>
    <row r="866" customHeight="1" spans="2:28">
      <c r="B866" s="6" t="str">
        <f t="shared" si="13"/>
        <v>43115-DT1EJ20250101-A-JIEU8018290-PARTS</v>
      </c>
      <c r="C866" s="29" t="s">
        <v>80</v>
      </c>
      <c r="D866" s="30" t="s">
        <v>81</v>
      </c>
      <c r="E866" s="30" t="s">
        <v>634</v>
      </c>
      <c r="F866" s="30" t="s">
        <v>635</v>
      </c>
      <c r="G866" s="31" t="s">
        <v>84</v>
      </c>
      <c r="H866" s="31"/>
      <c r="I866" s="31" t="s">
        <v>85</v>
      </c>
      <c r="J866" s="31" t="s">
        <v>636</v>
      </c>
      <c r="K866" s="31" t="s">
        <v>90</v>
      </c>
      <c r="L866" s="31">
        <v>8708299009</v>
      </c>
      <c r="M866" s="32" t="s">
        <v>91</v>
      </c>
      <c r="N866" s="33" t="s">
        <v>92</v>
      </c>
      <c r="O866" s="31">
        <v>1</v>
      </c>
      <c r="P866" s="34">
        <v>20</v>
      </c>
      <c r="Q866" s="34">
        <v>1.6</v>
      </c>
      <c r="R866" s="34">
        <v>0.05</v>
      </c>
      <c r="S866" s="34">
        <v>21.65</v>
      </c>
      <c r="T866" s="35">
        <v>0.633</v>
      </c>
      <c r="U866" s="35">
        <v>0.633</v>
      </c>
      <c r="V866" s="35">
        <v>0.91</v>
      </c>
      <c r="W866" s="35">
        <v>0.91</v>
      </c>
      <c r="X866" s="34">
        <v>21.65</v>
      </c>
      <c r="Y866" s="31"/>
      <c r="Z866" s="31"/>
      <c r="AA866" s="31"/>
      <c r="AB866" s="31"/>
    </row>
    <row r="867" customHeight="1" spans="2:28">
      <c r="B867" s="6" t="str">
        <f t="shared" si="13"/>
        <v>43115-DT1EJ20250101-A-JIEU8018290-PARTS</v>
      </c>
      <c r="C867" s="29" t="s">
        <v>80</v>
      </c>
      <c r="D867" s="30" t="s">
        <v>81</v>
      </c>
      <c r="E867" s="30" t="s">
        <v>634</v>
      </c>
      <c r="F867" s="30" t="s">
        <v>635</v>
      </c>
      <c r="G867" s="31" t="s">
        <v>84</v>
      </c>
      <c r="H867" s="31"/>
      <c r="I867" s="31" t="s">
        <v>85</v>
      </c>
      <c r="J867" s="31" t="s">
        <v>636</v>
      </c>
      <c r="K867" s="31" t="s">
        <v>93</v>
      </c>
      <c r="L867" s="31">
        <v>8708299009</v>
      </c>
      <c r="M867" s="32" t="s">
        <v>94</v>
      </c>
      <c r="N867" s="33" t="s">
        <v>95</v>
      </c>
      <c r="O867" s="31">
        <v>1</v>
      </c>
      <c r="P867" s="34">
        <v>19.64</v>
      </c>
      <c r="Q867" s="34">
        <v>1.57</v>
      </c>
      <c r="R867" s="34">
        <v>0.05</v>
      </c>
      <c r="S867" s="34">
        <v>21.26</v>
      </c>
      <c r="T867" s="35">
        <v>0.622</v>
      </c>
      <c r="U867" s="35">
        <v>0.622</v>
      </c>
      <c r="V867" s="35">
        <v>0.9</v>
      </c>
      <c r="W867" s="35">
        <v>0.9</v>
      </c>
      <c r="X867" s="34">
        <v>21.26</v>
      </c>
      <c r="Y867" s="31"/>
      <c r="Z867" s="31"/>
      <c r="AA867" s="31"/>
      <c r="AB867" s="31"/>
    </row>
    <row r="868" customHeight="1" spans="2:28">
      <c r="B868" s="6" t="str">
        <f t="shared" si="13"/>
        <v>43115-DT1EJ20250101-A-JIEU8018290-PARTS</v>
      </c>
      <c r="C868" s="29" t="s">
        <v>80</v>
      </c>
      <c r="D868" s="30" t="s">
        <v>81</v>
      </c>
      <c r="E868" s="30" t="s">
        <v>634</v>
      </c>
      <c r="F868" s="30" t="s">
        <v>635</v>
      </c>
      <c r="G868" s="31" t="s">
        <v>84</v>
      </c>
      <c r="H868" s="31"/>
      <c r="I868" s="31" t="s">
        <v>85</v>
      </c>
      <c r="J868" s="31" t="s">
        <v>636</v>
      </c>
      <c r="K868" s="31" t="s">
        <v>87</v>
      </c>
      <c r="L868" s="31">
        <v>8708999709</v>
      </c>
      <c r="M868" s="32" t="s">
        <v>88</v>
      </c>
      <c r="N868" s="33" t="s">
        <v>89</v>
      </c>
      <c r="O868" s="31">
        <v>1</v>
      </c>
      <c r="P868" s="34">
        <v>831.11</v>
      </c>
      <c r="Q868" s="34">
        <v>66.62</v>
      </c>
      <c r="R868" s="34">
        <v>1.92</v>
      </c>
      <c r="S868" s="34">
        <v>899.65</v>
      </c>
      <c r="T868" s="35">
        <v>7.824</v>
      </c>
      <c r="U868" s="35">
        <v>7.824</v>
      </c>
      <c r="V868" s="35">
        <v>11.27</v>
      </c>
      <c r="W868" s="35">
        <v>11.27</v>
      </c>
      <c r="X868" s="34">
        <v>899.65</v>
      </c>
      <c r="Y868" s="31"/>
      <c r="Z868" s="31"/>
      <c r="AA868" s="31"/>
      <c r="AB868" s="31"/>
    </row>
    <row r="869" customHeight="1" spans="2:28">
      <c r="B869" s="6" t="str">
        <f t="shared" si="13"/>
        <v>43115-DT1EJ20250101-A-JIEU8018290-PARTS</v>
      </c>
      <c r="C869" t="s">
        <v>80</v>
      </c>
      <c r="D869" t="s">
        <v>81</v>
      </c>
      <c r="E869" t="s">
        <v>634</v>
      </c>
      <c r="F869" t="s">
        <v>635</v>
      </c>
      <c r="G869" s="1" t="s">
        <v>84</v>
      </c>
      <c r="I869" s="1" t="s">
        <v>85</v>
      </c>
      <c r="J869" s="1" t="s">
        <v>636</v>
      </c>
      <c r="K869" s="1" t="s">
        <v>90</v>
      </c>
      <c r="L869">
        <v>8708299009</v>
      </c>
      <c r="M869" s="2" t="s">
        <v>91</v>
      </c>
      <c r="N869" s="3" t="s">
        <v>92</v>
      </c>
      <c r="O869" s="1">
        <v>1</v>
      </c>
      <c r="P869" s="4">
        <v>20</v>
      </c>
      <c r="Q869" s="4">
        <v>1.6</v>
      </c>
      <c r="R869" s="4">
        <v>0.05</v>
      </c>
      <c r="S869" s="4">
        <v>21.65</v>
      </c>
      <c r="T869" s="5">
        <v>0.633</v>
      </c>
      <c r="U869" s="5">
        <v>0.633</v>
      </c>
      <c r="V869" s="5">
        <v>0.91</v>
      </c>
      <c r="W869" s="5">
        <v>0.91</v>
      </c>
      <c r="X869" s="4">
        <v>21.65</v>
      </c>
    </row>
    <row r="870" customHeight="1" spans="2:28">
      <c r="B870" s="6" t="str">
        <f t="shared" si="13"/>
        <v>43115-DT1EJ20250101-A-JIEU8018290-PARTS</v>
      </c>
      <c r="C870" t="s">
        <v>80</v>
      </c>
      <c r="D870" t="s">
        <v>81</v>
      </c>
      <c r="E870" t="s">
        <v>634</v>
      </c>
      <c r="F870" t="s">
        <v>635</v>
      </c>
      <c r="G870" s="1" t="s">
        <v>84</v>
      </c>
      <c r="I870" s="1" t="s">
        <v>85</v>
      </c>
      <c r="J870" s="1" t="s">
        <v>636</v>
      </c>
      <c r="K870" s="1" t="s">
        <v>93</v>
      </c>
      <c r="L870">
        <v>8708299009</v>
      </c>
      <c r="M870" s="2" t="s">
        <v>94</v>
      </c>
      <c r="N870" s="3" t="s">
        <v>95</v>
      </c>
      <c r="O870" s="1">
        <v>1</v>
      </c>
      <c r="P870" s="4">
        <v>19.64</v>
      </c>
      <c r="Q870" s="4">
        <v>1.57</v>
      </c>
      <c r="R870" s="4">
        <v>0.05</v>
      </c>
      <c r="S870" s="4">
        <v>21.26</v>
      </c>
      <c r="T870" s="5">
        <v>0.622</v>
      </c>
      <c r="U870" s="5">
        <v>0.622</v>
      </c>
      <c r="V870" s="5">
        <v>0.9</v>
      </c>
      <c r="W870" s="5">
        <v>0.9</v>
      </c>
      <c r="X870" s="4">
        <v>21.26</v>
      </c>
    </row>
    <row r="871" customHeight="1" spans="2:28">
      <c r="B871" s="6" t="str">
        <f t="shared" si="13"/>
        <v>43115-DT1EJ20250101-A-JIEU8018290-PARTS</v>
      </c>
      <c r="C871" t="s">
        <v>80</v>
      </c>
      <c r="D871" t="s">
        <v>81</v>
      </c>
      <c r="E871" t="s">
        <v>634</v>
      </c>
      <c r="F871" t="s">
        <v>635</v>
      </c>
      <c r="G871" s="1" t="s">
        <v>84</v>
      </c>
      <c r="I871" s="1" t="s">
        <v>85</v>
      </c>
      <c r="J871" s="1" t="s">
        <v>636</v>
      </c>
      <c r="K871" s="1" t="s">
        <v>87</v>
      </c>
      <c r="L871">
        <v>8708999709</v>
      </c>
      <c r="M871" s="2" t="s">
        <v>88</v>
      </c>
      <c r="N871" s="3" t="s">
        <v>89</v>
      </c>
      <c r="O871" s="1">
        <v>1</v>
      </c>
      <c r="P871" s="4">
        <v>831.11</v>
      </c>
      <c r="Q871" s="4">
        <v>66.62</v>
      </c>
      <c r="R871" s="4">
        <v>1.92</v>
      </c>
      <c r="S871" s="4">
        <v>899.65</v>
      </c>
      <c r="T871" s="5">
        <v>7.824</v>
      </c>
      <c r="U871" s="5">
        <v>7.824</v>
      </c>
      <c r="V871" s="5">
        <v>11.27</v>
      </c>
      <c r="W871" s="5">
        <v>11.27</v>
      </c>
      <c r="X871" s="4">
        <v>899.65</v>
      </c>
    </row>
    <row r="872" customHeight="1" spans="2:28">
      <c r="B872" s="6" t="str">
        <f t="shared" si="13"/>
        <v>43115-DT1EJ20250101-A-JIEU8018290-PARTS</v>
      </c>
      <c r="C872" t="s">
        <v>80</v>
      </c>
      <c r="D872" t="s">
        <v>81</v>
      </c>
      <c r="E872" t="s">
        <v>634</v>
      </c>
      <c r="F872" t="s">
        <v>635</v>
      </c>
      <c r="G872" s="1" t="s">
        <v>84</v>
      </c>
      <c r="I872" s="1" t="s">
        <v>85</v>
      </c>
      <c r="J872" s="1" t="s">
        <v>636</v>
      </c>
      <c r="K872" s="1" t="s">
        <v>90</v>
      </c>
      <c r="L872">
        <v>8708299009</v>
      </c>
      <c r="M872" s="2" t="s">
        <v>91</v>
      </c>
      <c r="N872" s="3" t="s">
        <v>92</v>
      </c>
      <c r="O872" s="1">
        <v>1</v>
      </c>
      <c r="P872" s="4">
        <v>20</v>
      </c>
      <c r="Q872" s="4">
        <v>1.6</v>
      </c>
      <c r="R872" s="4">
        <v>0.05</v>
      </c>
      <c r="S872" s="4">
        <v>21.65</v>
      </c>
      <c r="T872" s="5">
        <v>0.633</v>
      </c>
      <c r="U872" s="5">
        <v>0.633</v>
      </c>
      <c r="V872" s="5">
        <v>0.91</v>
      </c>
      <c r="W872" s="5">
        <v>0.91</v>
      </c>
      <c r="X872" s="4">
        <v>21.65</v>
      </c>
    </row>
    <row r="873" customHeight="1" spans="2:28">
      <c r="B873" s="6" t="str">
        <f t="shared" si="13"/>
        <v>43115-DT1EJ20250101-A-JIEU8018290-PARTS</v>
      </c>
      <c r="C873" s="29" t="s">
        <v>80</v>
      </c>
      <c r="D873" s="30" t="s">
        <v>81</v>
      </c>
      <c r="E873" s="30" t="s">
        <v>634</v>
      </c>
      <c r="F873" s="30" t="s">
        <v>635</v>
      </c>
      <c r="G873" s="31" t="s">
        <v>84</v>
      </c>
      <c r="H873" s="31"/>
      <c r="I873" s="31" t="s">
        <v>85</v>
      </c>
      <c r="J873" s="31" t="s">
        <v>636</v>
      </c>
      <c r="K873" s="31" t="s">
        <v>93</v>
      </c>
      <c r="L873" s="31">
        <v>8708299009</v>
      </c>
      <c r="M873" s="32" t="s">
        <v>94</v>
      </c>
      <c r="N873" s="33" t="s">
        <v>95</v>
      </c>
      <c r="O873" s="31">
        <v>1</v>
      </c>
      <c r="P873" s="34">
        <v>19.64</v>
      </c>
      <c r="Q873" s="34">
        <v>1.57</v>
      </c>
      <c r="R873" s="34">
        <v>0.05</v>
      </c>
      <c r="S873" s="34">
        <v>21.26</v>
      </c>
      <c r="T873" s="35">
        <v>0.622</v>
      </c>
      <c r="U873" s="35">
        <v>0.622</v>
      </c>
      <c r="V873" s="35">
        <v>0.9</v>
      </c>
      <c r="W873" s="35">
        <v>0.9</v>
      </c>
      <c r="X873" s="34">
        <v>21.26</v>
      </c>
      <c r="Y873" s="31"/>
      <c r="Z873" s="31"/>
      <c r="AA873" s="31"/>
      <c r="AB873" s="31"/>
    </row>
    <row r="874" customHeight="1" spans="2:28">
      <c r="B874" s="6" t="str">
        <f t="shared" si="13"/>
        <v>43115-DT1EJ20250101-A-JIEU8018290-PARTS</v>
      </c>
      <c r="C874" s="29" t="s">
        <v>80</v>
      </c>
      <c r="D874" s="30" t="s">
        <v>81</v>
      </c>
      <c r="E874" s="30" t="s">
        <v>634</v>
      </c>
      <c r="F874" s="30" t="s">
        <v>635</v>
      </c>
      <c r="G874" s="31" t="s">
        <v>84</v>
      </c>
      <c r="H874" s="31"/>
      <c r="I874" s="31" t="s">
        <v>85</v>
      </c>
      <c r="J874" s="31" t="s">
        <v>636</v>
      </c>
      <c r="K874" s="31" t="s">
        <v>87</v>
      </c>
      <c r="L874" s="31">
        <v>8708999709</v>
      </c>
      <c r="M874" s="32" t="s">
        <v>88</v>
      </c>
      <c r="N874" s="33" t="s">
        <v>89</v>
      </c>
      <c r="O874" s="31">
        <v>1</v>
      </c>
      <c r="P874" s="34">
        <v>831.11</v>
      </c>
      <c r="Q874" s="34">
        <v>66.62</v>
      </c>
      <c r="R874" s="34">
        <v>1.92</v>
      </c>
      <c r="S874" s="34">
        <v>899.65</v>
      </c>
      <c r="T874" s="35">
        <v>7.824</v>
      </c>
      <c r="U874" s="35">
        <v>7.824</v>
      </c>
      <c r="V874" s="35">
        <v>11.27</v>
      </c>
      <c r="W874" s="35">
        <v>11.27</v>
      </c>
      <c r="X874" s="34">
        <v>899.65</v>
      </c>
      <c r="Y874" s="31"/>
      <c r="Z874" s="31"/>
      <c r="AA874" s="31"/>
      <c r="AB874" s="31"/>
    </row>
    <row r="875" customHeight="1" spans="2:28">
      <c r="B875" s="6" t="str">
        <f t="shared" si="13"/>
        <v>43115-DT1EJ20250101-A-JIEU8018290-PARTS</v>
      </c>
      <c r="C875" s="29" t="s">
        <v>80</v>
      </c>
      <c r="D875" s="30" t="s">
        <v>81</v>
      </c>
      <c r="E875" s="30" t="s">
        <v>634</v>
      </c>
      <c r="F875" s="30" t="s">
        <v>635</v>
      </c>
      <c r="G875" s="31" t="s">
        <v>84</v>
      </c>
      <c r="H875" s="31"/>
      <c r="I875" s="31" t="s">
        <v>85</v>
      </c>
      <c r="J875" s="31" t="s">
        <v>636</v>
      </c>
      <c r="K875" s="31" t="s">
        <v>90</v>
      </c>
      <c r="L875" s="31">
        <v>8708299009</v>
      </c>
      <c r="M875" s="32" t="s">
        <v>91</v>
      </c>
      <c r="N875" s="33" t="s">
        <v>92</v>
      </c>
      <c r="O875" s="31">
        <v>1</v>
      </c>
      <c r="P875" s="34">
        <v>20</v>
      </c>
      <c r="Q875" s="34">
        <v>1.6</v>
      </c>
      <c r="R875" s="34">
        <v>0.05</v>
      </c>
      <c r="S875" s="34">
        <v>21.65</v>
      </c>
      <c r="T875" s="35">
        <v>0.633</v>
      </c>
      <c r="U875" s="35">
        <v>0.633</v>
      </c>
      <c r="V875" s="35">
        <v>0.91</v>
      </c>
      <c r="W875" s="35">
        <v>0.91</v>
      </c>
      <c r="X875" s="34">
        <v>21.65</v>
      </c>
      <c r="Y875" s="31"/>
      <c r="Z875" s="31"/>
      <c r="AA875" s="31"/>
      <c r="AB875" s="31"/>
    </row>
    <row r="876" customHeight="1" spans="2:28">
      <c r="B876" s="6" t="str">
        <f t="shared" si="13"/>
        <v>43115-DT1EJ20250101-A-JIEU8018290-PARTS</v>
      </c>
      <c r="C876" t="s">
        <v>80</v>
      </c>
      <c r="D876" t="s">
        <v>81</v>
      </c>
      <c r="E876" t="s">
        <v>634</v>
      </c>
      <c r="F876" t="s">
        <v>635</v>
      </c>
      <c r="G876" s="1" t="s">
        <v>84</v>
      </c>
      <c r="I876" s="1" t="s">
        <v>85</v>
      </c>
      <c r="J876" s="1" t="s">
        <v>636</v>
      </c>
      <c r="K876" s="1" t="s">
        <v>93</v>
      </c>
      <c r="L876">
        <v>8708299009</v>
      </c>
      <c r="M876" s="2" t="s">
        <v>94</v>
      </c>
      <c r="N876" s="3" t="s">
        <v>95</v>
      </c>
      <c r="O876" s="1">
        <v>1</v>
      </c>
      <c r="P876" s="4">
        <v>19.64</v>
      </c>
      <c r="Q876" s="4">
        <v>1.57</v>
      </c>
      <c r="R876" s="4">
        <v>0.05</v>
      </c>
      <c r="S876" s="4">
        <v>21.26</v>
      </c>
      <c r="T876" s="5">
        <v>0.622</v>
      </c>
      <c r="U876" s="5">
        <v>0.622</v>
      </c>
      <c r="V876" s="5">
        <v>0.9</v>
      </c>
      <c r="W876" s="5">
        <v>0.9</v>
      </c>
      <c r="X876" s="4">
        <v>21.26</v>
      </c>
    </row>
    <row r="877" customHeight="1" spans="2:28">
      <c r="B877" s="6" t="str">
        <f t="shared" si="13"/>
        <v>43115-DT1EJ20250101-A-JIEU8018290-PARTS</v>
      </c>
      <c r="C877" s="29" t="s">
        <v>80</v>
      </c>
      <c r="D877" s="30" t="s">
        <v>81</v>
      </c>
      <c r="E877" s="30" t="s">
        <v>634</v>
      </c>
      <c r="F877" s="30" t="s">
        <v>635</v>
      </c>
      <c r="G877" s="31" t="s">
        <v>84</v>
      </c>
      <c r="H877" s="31"/>
      <c r="I877" s="31" t="s">
        <v>85</v>
      </c>
      <c r="J877" s="31" t="s">
        <v>636</v>
      </c>
      <c r="K877" s="31" t="s">
        <v>87</v>
      </c>
      <c r="L877" s="31">
        <v>8708999709</v>
      </c>
      <c r="M877" s="32" t="s">
        <v>88</v>
      </c>
      <c r="N877" s="33" t="s">
        <v>89</v>
      </c>
      <c r="O877" s="31">
        <v>1</v>
      </c>
      <c r="P877" s="34">
        <v>831.11</v>
      </c>
      <c r="Q877" s="34">
        <v>66.62</v>
      </c>
      <c r="R877" s="34">
        <v>1.92</v>
      </c>
      <c r="S877" s="34">
        <v>899.65</v>
      </c>
      <c r="T877" s="35">
        <v>7.824</v>
      </c>
      <c r="U877" s="35">
        <v>7.824</v>
      </c>
      <c r="V877" s="35">
        <v>11.27</v>
      </c>
      <c r="W877" s="35">
        <v>11.27</v>
      </c>
      <c r="X877" s="34">
        <v>899.65</v>
      </c>
      <c r="Y877" s="31"/>
      <c r="Z877" s="31"/>
      <c r="AA877" s="31"/>
      <c r="AB877" s="31"/>
    </row>
    <row r="878" customHeight="1" spans="2:28">
      <c r="B878" s="6" t="str">
        <f t="shared" si="13"/>
        <v>43115-DT1EJ20250101-A-JIEU8018290-PARTS</v>
      </c>
      <c r="C878" s="29" t="s">
        <v>80</v>
      </c>
      <c r="D878" s="30" t="s">
        <v>81</v>
      </c>
      <c r="E878" s="30" t="s">
        <v>634</v>
      </c>
      <c r="F878" s="30" t="s">
        <v>635</v>
      </c>
      <c r="G878" s="31" t="s">
        <v>84</v>
      </c>
      <c r="H878" s="31"/>
      <c r="I878" s="31" t="s">
        <v>85</v>
      </c>
      <c r="J878" s="31" t="s">
        <v>636</v>
      </c>
      <c r="K878" s="31" t="s">
        <v>90</v>
      </c>
      <c r="L878" s="31">
        <v>8708299009</v>
      </c>
      <c r="M878" s="32" t="s">
        <v>91</v>
      </c>
      <c r="N878" s="33" t="s">
        <v>92</v>
      </c>
      <c r="O878" s="31">
        <v>1</v>
      </c>
      <c r="P878" s="34">
        <v>20</v>
      </c>
      <c r="Q878" s="34">
        <v>1.6</v>
      </c>
      <c r="R878" s="34">
        <v>0.05</v>
      </c>
      <c r="S878" s="34">
        <v>21.65</v>
      </c>
      <c r="T878" s="35">
        <v>0.633</v>
      </c>
      <c r="U878" s="35">
        <v>0.633</v>
      </c>
      <c r="V878" s="35">
        <v>0.91</v>
      </c>
      <c r="W878" s="35">
        <v>0.91</v>
      </c>
      <c r="X878" s="34">
        <v>21.65</v>
      </c>
      <c r="Y878" s="31"/>
      <c r="Z878" s="31"/>
      <c r="AA878" s="31"/>
      <c r="AB878" s="31"/>
    </row>
    <row r="879" customHeight="1" spans="2:28">
      <c r="B879" s="6" t="str">
        <f t="shared" si="13"/>
        <v>43115-DT1EJ20250101-A-JIEU8018290-PARTS</v>
      </c>
      <c r="C879" s="29" t="s">
        <v>80</v>
      </c>
      <c r="D879" s="30" t="s">
        <v>81</v>
      </c>
      <c r="E879" s="30" t="s">
        <v>634</v>
      </c>
      <c r="F879" s="30" t="s">
        <v>635</v>
      </c>
      <c r="G879" s="31" t="s">
        <v>84</v>
      </c>
      <c r="H879" s="31"/>
      <c r="I879" s="31" t="s">
        <v>85</v>
      </c>
      <c r="J879" s="31" t="s">
        <v>636</v>
      </c>
      <c r="K879" s="31" t="s">
        <v>93</v>
      </c>
      <c r="L879" s="31">
        <v>8708299009</v>
      </c>
      <c r="M879" s="32" t="s">
        <v>94</v>
      </c>
      <c r="N879" s="33" t="s">
        <v>95</v>
      </c>
      <c r="O879" s="31">
        <v>1</v>
      </c>
      <c r="P879" s="34">
        <v>19.64</v>
      </c>
      <c r="Q879" s="34">
        <v>1.57</v>
      </c>
      <c r="R879" s="34">
        <v>0.05</v>
      </c>
      <c r="S879" s="34">
        <v>21.26</v>
      </c>
      <c r="T879" s="35">
        <v>0.622</v>
      </c>
      <c r="U879" s="35">
        <v>0.622</v>
      </c>
      <c r="V879" s="35">
        <v>0.9</v>
      </c>
      <c r="W879" s="35">
        <v>0.9</v>
      </c>
      <c r="X879" s="34">
        <v>21.26</v>
      </c>
      <c r="Y879" s="31"/>
      <c r="Z879" s="31"/>
      <c r="AA879" s="31"/>
      <c r="AB879" s="31"/>
    </row>
    <row r="880" customHeight="1" spans="2:28">
      <c r="B880" s="6" t="str">
        <f t="shared" si="13"/>
        <v>43115-DT1EJ20250101-A-JIEU8018290-PARTS</v>
      </c>
      <c r="C880" s="29" t="s">
        <v>80</v>
      </c>
      <c r="D880" s="30" t="s">
        <v>81</v>
      </c>
      <c r="E880" s="30" t="s">
        <v>634</v>
      </c>
      <c r="F880" s="30" t="s">
        <v>635</v>
      </c>
      <c r="G880" s="31" t="s">
        <v>84</v>
      </c>
      <c r="H880" s="31"/>
      <c r="I880" s="31" t="s">
        <v>85</v>
      </c>
      <c r="J880" s="31" t="s">
        <v>636</v>
      </c>
      <c r="K880" s="31" t="s">
        <v>87</v>
      </c>
      <c r="L880" s="31">
        <v>8708999709</v>
      </c>
      <c r="M880" s="32" t="s">
        <v>88</v>
      </c>
      <c r="N880" s="33" t="s">
        <v>89</v>
      </c>
      <c r="O880" s="31">
        <v>1</v>
      </c>
      <c r="P880" s="34">
        <v>831.11</v>
      </c>
      <c r="Q880" s="34">
        <v>66.62</v>
      </c>
      <c r="R880" s="34">
        <v>1.92</v>
      </c>
      <c r="S880" s="34">
        <v>899.65</v>
      </c>
      <c r="T880" s="35">
        <v>7.824</v>
      </c>
      <c r="U880" s="35">
        <v>7.824</v>
      </c>
      <c r="V880" s="35">
        <v>11.27</v>
      </c>
      <c r="W880" s="35">
        <v>11.27</v>
      </c>
      <c r="X880" s="34">
        <v>899.65</v>
      </c>
      <c r="Y880" s="31"/>
      <c r="Z880" s="31"/>
      <c r="AA880" s="31"/>
      <c r="AB880" s="31"/>
    </row>
    <row r="881" customHeight="1" spans="2:28">
      <c r="B881" s="6" t="str">
        <f t="shared" si="13"/>
        <v>43115-DT1EJ20250101-A-JIEU8018290-PARTS</v>
      </c>
      <c r="C881" t="s">
        <v>80</v>
      </c>
      <c r="D881" t="s">
        <v>81</v>
      </c>
      <c r="E881" t="s">
        <v>634</v>
      </c>
      <c r="F881" t="s">
        <v>635</v>
      </c>
      <c r="G881" s="1" t="s">
        <v>84</v>
      </c>
      <c r="I881" s="1" t="s">
        <v>85</v>
      </c>
      <c r="J881" s="1" t="s">
        <v>636</v>
      </c>
      <c r="K881" s="1" t="s">
        <v>90</v>
      </c>
      <c r="L881">
        <v>8708299009</v>
      </c>
      <c r="M881" s="2" t="s">
        <v>91</v>
      </c>
      <c r="N881" s="3" t="s">
        <v>92</v>
      </c>
      <c r="O881" s="1">
        <v>1</v>
      </c>
      <c r="P881" s="4">
        <v>20</v>
      </c>
      <c r="Q881" s="4">
        <v>1.6</v>
      </c>
      <c r="R881" s="4">
        <v>0.05</v>
      </c>
      <c r="S881" s="4">
        <v>21.65</v>
      </c>
      <c r="T881" s="5">
        <v>0.633</v>
      </c>
      <c r="U881" s="5">
        <v>0.633</v>
      </c>
      <c r="V881" s="5">
        <v>0.91</v>
      </c>
      <c r="W881" s="5">
        <v>0.91</v>
      </c>
      <c r="X881" s="4">
        <v>21.65</v>
      </c>
    </row>
    <row r="882" customHeight="1" spans="2:28">
      <c r="B882" s="6" t="str">
        <f t="shared" si="13"/>
        <v>43115-DT1EJ20250101-A-JIEU8018290-PARTS</v>
      </c>
      <c r="C882" t="s">
        <v>80</v>
      </c>
      <c r="D882" t="s">
        <v>81</v>
      </c>
      <c r="E882" t="s">
        <v>634</v>
      </c>
      <c r="F882" t="s">
        <v>635</v>
      </c>
      <c r="G882" s="1" t="s">
        <v>84</v>
      </c>
      <c r="I882" s="1" t="s">
        <v>85</v>
      </c>
      <c r="J882" s="1" t="s">
        <v>636</v>
      </c>
      <c r="K882" s="1" t="s">
        <v>93</v>
      </c>
      <c r="L882">
        <v>8708299009</v>
      </c>
      <c r="M882" s="2" t="s">
        <v>94</v>
      </c>
      <c r="N882" s="3" t="s">
        <v>95</v>
      </c>
      <c r="O882" s="1">
        <v>1</v>
      </c>
      <c r="P882" s="4">
        <v>19.64</v>
      </c>
      <c r="Q882" s="4">
        <v>1.57</v>
      </c>
      <c r="R882" s="4">
        <v>0.05</v>
      </c>
      <c r="S882" s="4">
        <v>21.26</v>
      </c>
      <c r="T882" s="5">
        <v>0.622</v>
      </c>
      <c r="U882" s="5">
        <v>0.622</v>
      </c>
      <c r="V882" s="5">
        <v>0.9</v>
      </c>
      <c r="W882" s="5">
        <v>0.9</v>
      </c>
      <c r="X882" s="4">
        <v>21.26</v>
      </c>
    </row>
    <row r="883" customHeight="1" spans="2:28">
      <c r="B883" s="6" t="str">
        <f t="shared" si="13"/>
        <v>43115-DT1EJ20250101-A-JIEU8018290-PARTS</v>
      </c>
      <c r="C883" s="29" t="s">
        <v>80</v>
      </c>
      <c r="D883" s="30" t="s">
        <v>81</v>
      </c>
      <c r="E883" s="30" t="s">
        <v>634</v>
      </c>
      <c r="F883" s="30" t="s">
        <v>635</v>
      </c>
      <c r="G883" s="31" t="s">
        <v>84</v>
      </c>
      <c r="H883" s="31"/>
      <c r="I883" s="31" t="s">
        <v>85</v>
      </c>
      <c r="J883" s="31" t="s">
        <v>636</v>
      </c>
      <c r="K883" s="31" t="s">
        <v>87</v>
      </c>
      <c r="L883" s="31">
        <v>8708999709</v>
      </c>
      <c r="M883" s="32" t="s">
        <v>88</v>
      </c>
      <c r="N883" s="33" t="s">
        <v>89</v>
      </c>
      <c r="O883" s="31">
        <v>1</v>
      </c>
      <c r="P883" s="34">
        <v>831.11</v>
      </c>
      <c r="Q883" s="34">
        <v>66.62</v>
      </c>
      <c r="R883" s="34">
        <v>1.92</v>
      </c>
      <c r="S883" s="34">
        <v>899.65</v>
      </c>
      <c r="T883" s="35">
        <v>7.824</v>
      </c>
      <c r="U883" s="35">
        <v>7.824</v>
      </c>
      <c r="V883" s="35">
        <v>11.27</v>
      </c>
      <c r="W883" s="35">
        <v>11.27</v>
      </c>
      <c r="X883" s="34">
        <v>899.65</v>
      </c>
      <c r="Y883" s="31"/>
      <c r="Z883" s="31"/>
      <c r="AA883" s="31"/>
      <c r="AB883" s="31"/>
    </row>
    <row r="884" customHeight="1" spans="2:28">
      <c r="B884" s="6" t="str">
        <f t="shared" si="13"/>
        <v>43115-DT1EJ20250101-A-JIEU8018290-PARTS</v>
      </c>
      <c r="C884" s="29" t="s">
        <v>80</v>
      </c>
      <c r="D884" s="30" t="s">
        <v>81</v>
      </c>
      <c r="E884" s="30" t="s">
        <v>634</v>
      </c>
      <c r="F884" s="30" t="s">
        <v>635</v>
      </c>
      <c r="G884" s="31" t="s">
        <v>84</v>
      </c>
      <c r="H884" s="31"/>
      <c r="I884" s="31" t="s">
        <v>85</v>
      </c>
      <c r="J884" s="31" t="s">
        <v>636</v>
      </c>
      <c r="K884" s="31" t="s">
        <v>90</v>
      </c>
      <c r="L884" s="31">
        <v>8708299009</v>
      </c>
      <c r="M884" s="32" t="s">
        <v>91</v>
      </c>
      <c r="N884" s="33" t="s">
        <v>92</v>
      </c>
      <c r="O884" s="31">
        <v>1</v>
      </c>
      <c r="P884" s="34">
        <v>20</v>
      </c>
      <c r="Q884" s="34">
        <v>1.6</v>
      </c>
      <c r="R884" s="34">
        <v>0.05</v>
      </c>
      <c r="S884" s="34">
        <v>21.65</v>
      </c>
      <c r="T884" s="35">
        <v>0.633</v>
      </c>
      <c r="U884" s="35">
        <v>0.633</v>
      </c>
      <c r="V884" s="35">
        <v>0.91</v>
      </c>
      <c r="W884" s="35">
        <v>0.91</v>
      </c>
      <c r="X884" s="34">
        <v>21.65</v>
      </c>
      <c r="Y884" s="31"/>
      <c r="Z884" s="31"/>
      <c r="AA884" s="31"/>
      <c r="AB884" s="31"/>
    </row>
    <row r="885" customHeight="1" spans="2:28">
      <c r="B885" s="6" t="str">
        <f t="shared" si="13"/>
        <v>43115-DT1EJ20250101-A-JIEU8018290-PARTS</v>
      </c>
      <c r="C885" t="s">
        <v>80</v>
      </c>
      <c r="D885" t="s">
        <v>81</v>
      </c>
      <c r="E885" t="s">
        <v>634</v>
      </c>
      <c r="F885" t="s">
        <v>635</v>
      </c>
      <c r="G885" s="1" t="s">
        <v>84</v>
      </c>
      <c r="I885" s="1" t="s">
        <v>85</v>
      </c>
      <c r="J885" s="1" t="s">
        <v>636</v>
      </c>
      <c r="K885" s="1" t="s">
        <v>93</v>
      </c>
      <c r="L885">
        <v>8708299009</v>
      </c>
      <c r="M885" s="2" t="s">
        <v>94</v>
      </c>
      <c r="N885" s="3" t="s">
        <v>95</v>
      </c>
      <c r="O885" s="1">
        <v>1</v>
      </c>
      <c r="P885" s="4">
        <v>19.64</v>
      </c>
      <c r="Q885" s="4">
        <v>1.57</v>
      </c>
      <c r="R885" s="4">
        <v>0.05</v>
      </c>
      <c r="S885" s="4">
        <v>21.26</v>
      </c>
      <c r="T885" s="5">
        <v>0.622</v>
      </c>
      <c r="U885" s="5">
        <v>0.622</v>
      </c>
      <c r="V885" s="5">
        <v>0.9</v>
      </c>
      <c r="W885" s="5">
        <v>0.9</v>
      </c>
      <c r="X885" s="4">
        <v>21.26</v>
      </c>
    </row>
    <row r="886" customHeight="1" spans="2:28">
      <c r="B886" s="6" t="str">
        <f t="shared" si="13"/>
        <v>43115-DT1EJ20250101-A-JIEU8018290-PARTS</v>
      </c>
      <c r="C886" t="s">
        <v>80</v>
      </c>
      <c r="D886" t="s">
        <v>81</v>
      </c>
      <c r="E886" t="s">
        <v>634</v>
      </c>
      <c r="F886" t="s">
        <v>635</v>
      </c>
      <c r="G886" s="1" t="s">
        <v>84</v>
      </c>
      <c r="I886" s="1" t="s">
        <v>85</v>
      </c>
      <c r="J886" s="1" t="s">
        <v>636</v>
      </c>
      <c r="K886" s="1" t="s">
        <v>87</v>
      </c>
      <c r="L886">
        <v>8708999709</v>
      </c>
      <c r="M886" s="2" t="s">
        <v>88</v>
      </c>
      <c r="N886" s="3" t="s">
        <v>89</v>
      </c>
      <c r="O886" s="1">
        <v>1</v>
      </c>
      <c r="P886" s="4">
        <v>831.11</v>
      </c>
      <c r="Q886" s="4">
        <v>66.62</v>
      </c>
      <c r="R886" s="4">
        <v>1.92</v>
      </c>
      <c r="S886" s="4">
        <v>899.65</v>
      </c>
      <c r="T886" s="5">
        <v>7.824</v>
      </c>
      <c r="U886" s="5">
        <v>7.824</v>
      </c>
      <c r="V886" s="5">
        <v>11.27</v>
      </c>
      <c r="W886" s="5">
        <v>11.27</v>
      </c>
      <c r="X886" s="4">
        <v>899.65</v>
      </c>
    </row>
    <row r="887" customHeight="1" spans="2:28">
      <c r="B887" s="6" t="str">
        <f t="shared" si="13"/>
        <v>43115-DT1EJ20250101-A-JIEU8018290-PARTS</v>
      </c>
      <c r="C887" t="s">
        <v>80</v>
      </c>
      <c r="D887" t="s">
        <v>81</v>
      </c>
      <c r="E887" t="s">
        <v>634</v>
      </c>
      <c r="F887" t="s">
        <v>635</v>
      </c>
      <c r="G887" s="1" t="s">
        <v>84</v>
      </c>
      <c r="I887" s="1" t="s">
        <v>85</v>
      </c>
      <c r="J887" s="1" t="s">
        <v>636</v>
      </c>
      <c r="K887" s="1" t="s">
        <v>90</v>
      </c>
      <c r="L887">
        <v>8708299009</v>
      </c>
      <c r="M887" s="2" t="s">
        <v>91</v>
      </c>
      <c r="N887" s="3" t="s">
        <v>92</v>
      </c>
      <c r="O887" s="1">
        <v>1</v>
      </c>
      <c r="P887" s="4">
        <v>20</v>
      </c>
      <c r="Q887" s="4">
        <v>1.6</v>
      </c>
      <c r="R887" s="4">
        <v>0.05</v>
      </c>
      <c r="S887" s="4">
        <v>21.65</v>
      </c>
      <c r="T887" s="5">
        <v>0.633</v>
      </c>
      <c r="U887" s="5">
        <v>0.633</v>
      </c>
      <c r="V887" s="5">
        <v>0.91</v>
      </c>
      <c r="W887" s="5">
        <v>0.91</v>
      </c>
      <c r="X887" s="4">
        <v>21.65</v>
      </c>
    </row>
    <row r="888" customHeight="1" spans="2:28">
      <c r="B888" s="6" t="str">
        <f t="shared" si="13"/>
        <v>43115-DT1EJ20250101-A-JIEU8018290-PARTS</v>
      </c>
      <c r="C888" t="s">
        <v>80</v>
      </c>
      <c r="D888" t="s">
        <v>81</v>
      </c>
      <c r="E888" t="s">
        <v>634</v>
      </c>
      <c r="F888" t="s">
        <v>635</v>
      </c>
      <c r="G888" s="1" t="s">
        <v>84</v>
      </c>
      <c r="I888" s="1" t="s">
        <v>85</v>
      </c>
      <c r="J888" s="1" t="s">
        <v>636</v>
      </c>
      <c r="K888" s="1" t="s">
        <v>93</v>
      </c>
      <c r="L888">
        <v>8708299009</v>
      </c>
      <c r="M888" s="2" t="s">
        <v>94</v>
      </c>
      <c r="N888" s="3" t="s">
        <v>95</v>
      </c>
      <c r="O888" s="1">
        <v>1</v>
      </c>
      <c r="P888" s="4">
        <v>19.64</v>
      </c>
      <c r="Q888" s="4">
        <v>1.57</v>
      </c>
      <c r="R888" s="4">
        <v>0.05</v>
      </c>
      <c r="S888" s="4">
        <v>21.26</v>
      </c>
      <c r="T888" s="5">
        <v>0.622</v>
      </c>
      <c r="U888" s="5">
        <v>0.622</v>
      </c>
      <c r="V888" s="5">
        <v>0.9</v>
      </c>
      <c r="W888" s="5">
        <v>0.9</v>
      </c>
      <c r="X888" s="4">
        <v>21.26</v>
      </c>
    </row>
    <row r="889" customHeight="1" spans="2:28">
      <c r="B889" s="6" t="str">
        <f t="shared" si="13"/>
        <v>43115-DT1EJ20250101-A-JIEU8018290-PARTS</v>
      </c>
      <c r="C889" s="29" t="s">
        <v>80</v>
      </c>
      <c r="D889" s="30" t="s">
        <v>81</v>
      </c>
      <c r="E889" s="30" t="s">
        <v>634</v>
      </c>
      <c r="F889" s="30" t="s">
        <v>635</v>
      </c>
      <c r="G889" s="31" t="s">
        <v>84</v>
      </c>
      <c r="H889" s="31"/>
      <c r="I889" s="31" t="s">
        <v>85</v>
      </c>
      <c r="J889" s="31" t="s">
        <v>636</v>
      </c>
      <c r="K889" s="31" t="s">
        <v>87</v>
      </c>
      <c r="L889" s="31">
        <v>8708999709</v>
      </c>
      <c r="M889" s="32" t="s">
        <v>88</v>
      </c>
      <c r="N889" s="33" t="s">
        <v>89</v>
      </c>
      <c r="O889" s="31">
        <v>1</v>
      </c>
      <c r="P889" s="34">
        <v>831.11</v>
      </c>
      <c r="Q889" s="34">
        <v>66.62</v>
      </c>
      <c r="R889" s="34">
        <v>1.92</v>
      </c>
      <c r="S889" s="34">
        <v>899.65</v>
      </c>
      <c r="T889" s="35">
        <v>7.824</v>
      </c>
      <c r="U889" s="35">
        <v>7.824</v>
      </c>
      <c r="V889" s="35">
        <v>11.27</v>
      </c>
      <c r="W889" s="35">
        <v>11.27</v>
      </c>
      <c r="X889" s="34">
        <v>899.65</v>
      </c>
      <c r="Y889" s="31"/>
      <c r="Z889" s="31"/>
      <c r="AA889" s="31"/>
      <c r="AB889" s="31"/>
    </row>
    <row r="890" customHeight="1" spans="2:28">
      <c r="B890" s="6" t="str">
        <f t="shared" si="13"/>
        <v>43115-DT1EJ20250101-A-JIEU8018290-PARTS</v>
      </c>
      <c r="C890" s="29" t="s">
        <v>80</v>
      </c>
      <c r="D890" s="30" t="s">
        <v>81</v>
      </c>
      <c r="E890" s="30" t="s">
        <v>634</v>
      </c>
      <c r="F890" s="30" t="s">
        <v>635</v>
      </c>
      <c r="G890" s="31" t="s">
        <v>84</v>
      </c>
      <c r="H890" s="31"/>
      <c r="I890" s="31" t="s">
        <v>85</v>
      </c>
      <c r="J890" s="31" t="s">
        <v>636</v>
      </c>
      <c r="K890" s="31" t="s">
        <v>90</v>
      </c>
      <c r="L890" s="31">
        <v>8708299009</v>
      </c>
      <c r="M890" s="32" t="s">
        <v>91</v>
      </c>
      <c r="N890" s="33" t="s">
        <v>92</v>
      </c>
      <c r="O890" s="31">
        <v>1</v>
      </c>
      <c r="P890" s="34">
        <v>20</v>
      </c>
      <c r="Q890" s="34">
        <v>1.6</v>
      </c>
      <c r="R890" s="34">
        <v>0.05</v>
      </c>
      <c r="S890" s="34">
        <v>21.65</v>
      </c>
      <c r="T890" s="35">
        <v>0.633</v>
      </c>
      <c r="U890" s="35">
        <v>0.633</v>
      </c>
      <c r="V890" s="35">
        <v>0.91</v>
      </c>
      <c r="W890" s="35">
        <v>0.91</v>
      </c>
      <c r="X890" s="34">
        <v>21.65</v>
      </c>
      <c r="Y890" s="31"/>
      <c r="Z890" s="31"/>
      <c r="AA890" s="31"/>
      <c r="AB890" s="31"/>
    </row>
    <row r="891" customHeight="1" spans="2:28">
      <c r="B891" s="6" t="str">
        <f t="shared" si="13"/>
        <v>43115-DT1EJ20250101-A-JIEU8018290-PARTS</v>
      </c>
      <c r="C891" s="29" t="s">
        <v>80</v>
      </c>
      <c r="D891" s="30" t="s">
        <v>81</v>
      </c>
      <c r="E891" s="30" t="s">
        <v>634</v>
      </c>
      <c r="F891" s="30" t="s">
        <v>635</v>
      </c>
      <c r="G891" s="31" t="s">
        <v>84</v>
      </c>
      <c r="H891" s="31"/>
      <c r="I891" s="31" t="s">
        <v>85</v>
      </c>
      <c r="J891" s="31" t="s">
        <v>636</v>
      </c>
      <c r="K891" s="31" t="s">
        <v>93</v>
      </c>
      <c r="L891" s="31">
        <v>8708299009</v>
      </c>
      <c r="M891" s="32" t="s">
        <v>94</v>
      </c>
      <c r="N891" s="33" t="s">
        <v>95</v>
      </c>
      <c r="O891" s="31">
        <v>1</v>
      </c>
      <c r="P891" s="34">
        <v>19.64</v>
      </c>
      <c r="Q891" s="34">
        <v>1.57</v>
      </c>
      <c r="R891" s="34">
        <v>0.05</v>
      </c>
      <c r="S891" s="34">
        <v>21.26</v>
      </c>
      <c r="T891" s="35">
        <v>0.622</v>
      </c>
      <c r="U891" s="35">
        <v>0.622</v>
      </c>
      <c r="V891" s="35">
        <v>0.9</v>
      </c>
      <c r="W891" s="35">
        <v>0.9</v>
      </c>
      <c r="X891" s="34">
        <v>21.26</v>
      </c>
      <c r="Y891" s="31"/>
      <c r="Z891" s="31"/>
      <c r="AA891" s="31"/>
      <c r="AB891" s="31"/>
    </row>
    <row r="892" customHeight="1" spans="2:28">
      <c r="B892" s="6" t="str">
        <f t="shared" si="13"/>
        <v>43115-DT1EJ20250101-A-JIEU8018290-PARTS</v>
      </c>
      <c r="C892" s="29" t="s">
        <v>80</v>
      </c>
      <c r="D892" s="30" t="s">
        <v>81</v>
      </c>
      <c r="E892" s="30" t="s">
        <v>634</v>
      </c>
      <c r="F892" s="30" t="s">
        <v>635</v>
      </c>
      <c r="G892" s="31" t="s">
        <v>84</v>
      </c>
      <c r="H892" s="31"/>
      <c r="I892" s="31" t="s">
        <v>85</v>
      </c>
      <c r="J892" s="31" t="s">
        <v>636</v>
      </c>
      <c r="K892" s="31" t="s">
        <v>87</v>
      </c>
      <c r="L892" s="31">
        <v>8708999709</v>
      </c>
      <c r="M892" s="32" t="s">
        <v>88</v>
      </c>
      <c r="N892" s="33" t="s">
        <v>89</v>
      </c>
      <c r="O892" s="31">
        <v>1</v>
      </c>
      <c r="P892" s="34">
        <v>831.11</v>
      </c>
      <c r="Q892" s="34">
        <v>66.62</v>
      </c>
      <c r="R892" s="34">
        <v>1.92</v>
      </c>
      <c r="S892" s="34">
        <v>899.65</v>
      </c>
      <c r="T892" s="35">
        <v>7.824</v>
      </c>
      <c r="U892" s="35">
        <v>7.824</v>
      </c>
      <c r="V892" s="35">
        <v>11.27</v>
      </c>
      <c r="W892" s="35">
        <v>11.27</v>
      </c>
      <c r="X892" s="34">
        <v>899.65</v>
      </c>
      <c r="Y892" s="31"/>
      <c r="Z892" s="31"/>
      <c r="AA892" s="31"/>
      <c r="AB892" s="31"/>
    </row>
    <row r="893" customHeight="1" spans="2:28">
      <c r="B893" s="6" t="str">
        <f t="shared" si="13"/>
        <v>43115-DT1EJ20250101-A-JIEU8018290-PARTS</v>
      </c>
      <c r="C893" s="29" t="s">
        <v>80</v>
      </c>
      <c r="D893" s="30" t="s">
        <v>81</v>
      </c>
      <c r="E893" s="30" t="s">
        <v>634</v>
      </c>
      <c r="F893" s="30" t="s">
        <v>635</v>
      </c>
      <c r="G893" s="31" t="s">
        <v>84</v>
      </c>
      <c r="H893" s="31"/>
      <c r="I893" s="31" t="s">
        <v>85</v>
      </c>
      <c r="J893" s="31" t="s">
        <v>636</v>
      </c>
      <c r="K893" s="31" t="s">
        <v>90</v>
      </c>
      <c r="L893" s="31">
        <v>8708299009</v>
      </c>
      <c r="M893" s="32" t="s">
        <v>91</v>
      </c>
      <c r="N893" s="33" t="s">
        <v>92</v>
      </c>
      <c r="O893" s="31">
        <v>1</v>
      </c>
      <c r="P893" s="34">
        <v>20</v>
      </c>
      <c r="Q893" s="34">
        <v>1.6</v>
      </c>
      <c r="R893" s="34">
        <v>0.05</v>
      </c>
      <c r="S893" s="34">
        <v>21.65</v>
      </c>
      <c r="T893" s="35">
        <v>0.633</v>
      </c>
      <c r="U893" s="35">
        <v>0.633</v>
      </c>
      <c r="V893" s="35">
        <v>0.91</v>
      </c>
      <c r="W893" s="35">
        <v>0.91</v>
      </c>
      <c r="X893" s="34">
        <v>21.65</v>
      </c>
      <c r="Y893" s="31"/>
      <c r="Z893" s="31"/>
      <c r="AA893" s="31"/>
      <c r="AB893" s="31"/>
    </row>
    <row r="894" customHeight="1" spans="2:28">
      <c r="B894" s="6" t="str">
        <f t="shared" si="13"/>
        <v>43115-DT1EJ20250101-A-JIEU8018290-PARTS</v>
      </c>
      <c r="C894" s="29" t="s">
        <v>80</v>
      </c>
      <c r="D894" s="30" t="s">
        <v>81</v>
      </c>
      <c r="E894" s="30" t="s">
        <v>634</v>
      </c>
      <c r="F894" s="30" t="s">
        <v>635</v>
      </c>
      <c r="G894" s="31" t="s">
        <v>84</v>
      </c>
      <c r="H894" s="31"/>
      <c r="I894" s="31" t="s">
        <v>85</v>
      </c>
      <c r="J894" s="31" t="s">
        <v>636</v>
      </c>
      <c r="K894" s="31" t="s">
        <v>93</v>
      </c>
      <c r="L894" s="31">
        <v>8708299009</v>
      </c>
      <c r="M894" s="32" t="s">
        <v>94</v>
      </c>
      <c r="N894" s="33" t="s">
        <v>95</v>
      </c>
      <c r="O894" s="31">
        <v>1</v>
      </c>
      <c r="P894" s="34">
        <v>19.64</v>
      </c>
      <c r="Q894" s="34">
        <v>1.57</v>
      </c>
      <c r="R894" s="34">
        <v>0.05</v>
      </c>
      <c r="S894" s="34">
        <v>21.26</v>
      </c>
      <c r="T894" s="35">
        <v>0.622</v>
      </c>
      <c r="U894" s="35">
        <v>0.622</v>
      </c>
      <c r="V894" s="35">
        <v>0.9</v>
      </c>
      <c r="W894" s="35">
        <v>0.9</v>
      </c>
      <c r="X894" s="34">
        <v>21.26</v>
      </c>
      <c r="Y894" s="31"/>
      <c r="Z894" s="31"/>
      <c r="AA894" s="31"/>
      <c r="AB894" s="31"/>
    </row>
    <row r="895" customHeight="1" spans="2:28">
      <c r="B895" s="6" t="str">
        <f t="shared" si="13"/>
        <v>43115-DT1EJ20250101-A-JIEU8018290-PARTS</v>
      </c>
      <c r="C895" s="29" t="s">
        <v>80</v>
      </c>
      <c r="D895" s="30" t="s">
        <v>81</v>
      </c>
      <c r="E895" s="30" t="s">
        <v>634</v>
      </c>
      <c r="F895" s="30" t="s">
        <v>635</v>
      </c>
      <c r="G895" s="31" t="s">
        <v>84</v>
      </c>
      <c r="H895" s="31"/>
      <c r="I895" s="31" t="s">
        <v>85</v>
      </c>
      <c r="J895" s="31" t="s">
        <v>636</v>
      </c>
      <c r="K895" s="31" t="s">
        <v>87</v>
      </c>
      <c r="L895" s="31">
        <v>8708999709</v>
      </c>
      <c r="M895" s="32" t="s">
        <v>88</v>
      </c>
      <c r="N895" s="33" t="s">
        <v>89</v>
      </c>
      <c r="O895" s="31">
        <v>1</v>
      </c>
      <c r="P895" s="34">
        <v>831.11</v>
      </c>
      <c r="Q895" s="34">
        <v>66.62</v>
      </c>
      <c r="R895" s="34">
        <v>1.92</v>
      </c>
      <c r="S895" s="34">
        <v>899.65</v>
      </c>
      <c r="T895" s="35">
        <v>7.824</v>
      </c>
      <c r="U895" s="35">
        <v>7.824</v>
      </c>
      <c r="V895" s="35">
        <v>11.27</v>
      </c>
      <c r="W895" s="35">
        <v>11.27</v>
      </c>
      <c r="X895" s="34">
        <v>899.65</v>
      </c>
      <c r="Y895" s="31"/>
      <c r="Z895" s="31"/>
      <c r="AA895" s="31"/>
      <c r="AB895" s="31"/>
    </row>
    <row r="896" customHeight="1" spans="2:28">
      <c r="B896" s="6" t="str">
        <f t="shared" si="13"/>
        <v>43115-DT1EJ20250101-A-JIEU8018290-PARTS</v>
      </c>
      <c r="C896" s="29" t="s">
        <v>80</v>
      </c>
      <c r="D896" s="30" t="s">
        <v>81</v>
      </c>
      <c r="E896" s="30" t="s">
        <v>634</v>
      </c>
      <c r="F896" s="30" t="s">
        <v>635</v>
      </c>
      <c r="G896" s="31" t="s">
        <v>84</v>
      </c>
      <c r="H896" s="31"/>
      <c r="I896" s="31" t="s">
        <v>85</v>
      </c>
      <c r="J896" s="31" t="s">
        <v>636</v>
      </c>
      <c r="K896" s="31" t="s">
        <v>90</v>
      </c>
      <c r="L896" s="31">
        <v>8708299009</v>
      </c>
      <c r="M896" s="32" t="s">
        <v>91</v>
      </c>
      <c r="N896" s="33" t="s">
        <v>92</v>
      </c>
      <c r="O896" s="31">
        <v>1</v>
      </c>
      <c r="P896" s="34">
        <v>20</v>
      </c>
      <c r="Q896" s="34">
        <v>1.6</v>
      </c>
      <c r="R896" s="34">
        <v>0.05</v>
      </c>
      <c r="S896" s="34">
        <v>21.65</v>
      </c>
      <c r="T896" s="35">
        <v>0.633</v>
      </c>
      <c r="U896" s="35">
        <v>0.633</v>
      </c>
      <c r="V896" s="35">
        <v>0.91</v>
      </c>
      <c r="W896" s="35">
        <v>0.91</v>
      </c>
      <c r="X896" s="34">
        <v>21.65</v>
      </c>
      <c r="Y896" s="31"/>
      <c r="Z896" s="31"/>
      <c r="AA896" s="31"/>
      <c r="AB896" s="31"/>
    </row>
    <row r="897" customHeight="1" spans="2:24">
      <c r="B897" s="6" t="str">
        <f t="shared" si="13"/>
        <v>43115-DT1EJ20250101-A-JIEU8018290-PARTS</v>
      </c>
      <c r="C897" t="s">
        <v>80</v>
      </c>
      <c r="D897" t="s">
        <v>81</v>
      </c>
      <c r="E897" t="s">
        <v>634</v>
      </c>
      <c r="F897" t="s">
        <v>635</v>
      </c>
      <c r="G897" s="1" t="s">
        <v>84</v>
      </c>
      <c r="I897" s="1" t="s">
        <v>85</v>
      </c>
      <c r="J897" s="1" t="s">
        <v>636</v>
      </c>
      <c r="K897" s="1" t="s">
        <v>93</v>
      </c>
      <c r="L897">
        <v>8708299009</v>
      </c>
      <c r="M897" s="2" t="s">
        <v>94</v>
      </c>
      <c r="N897" s="3" t="s">
        <v>95</v>
      </c>
      <c r="O897" s="1">
        <v>1</v>
      </c>
      <c r="P897" s="4">
        <v>19.64</v>
      </c>
      <c r="Q897" s="4">
        <v>1.57</v>
      </c>
      <c r="R897" s="4">
        <v>0.05</v>
      </c>
      <c r="S897" s="4">
        <v>21.26</v>
      </c>
      <c r="T897" s="5">
        <v>0.622</v>
      </c>
      <c r="U897" s="5">
        <v>0.622</v>
      </c>
      <c r="V897" s="5">
        <v>0.9</v>
      </c>
      <c r="W897" s="5">
        <v>0.9</v>
      </c>
      <c r="X897" s="4">
        <v>21.26</v>
      </c>
    </row>
    <row r="898" customHeight="1" spans="2:24">
      <c r="B898" s="6" t="str">
        <f t="shared" ref="B898:B961" si="14">CONCATENATE(C898,"-",E898,"-",G898)</f>
        <v>43115-DT1EJ20250101-A-JIEU8018290-PARTS</v>
      </c>
      <c r="C898" t="s">
        <v>80</v>
      </c>
      <c r="D898" t="s">
        <v>81</v>
      </c>
      <c r="E898" t="s">
        <v>634</v>
      </c>
      <c r="F898" t="s">
        <v>635</v>
      </c>
      <c r="G898" s="1" t="s">
        <v>84</v>
      </c>
      <c r="I898" s="1" t="s">
        <v>85</v>
      </c>
      <c r="J898" s="1" t="s">
        <v>636</v>
      </c>
      <c r="K898" s="1" t="s">
        <v>87</v>
      </c>
      <c r="L898">
        <v>8708999709</v>
      </c>
      <c r="M898" s="2" t="s">
        <v>88</v>
      </c>
      <c r="N898" s="3" t="s">
        <v>89</v>
      </c>
      <c r="O898" s="1">
        <v>1</v>
      </c>
      <c r="P898" s="4">
        <v>831.11</v>
      </c>
      <c r="Q898" s="4">
        <v>66.62</v>
      </c>
      <c r="R898" s="4">
        <v>1.92</v>
      </c>
      <c r="S898" s="4">
        <v>899.65</v>
      </c>
      <c r="T898" s="5">
        <v>7.824</v>
      </c>
      <c r="U898" s="5">
        <v>7.824</v>
      </c>
      <c r="V898" s="5">
        <v>11.27</v>
      </c>
      <c r="W898" s="5">
        <v>11.27</v>
      </c>
      <c r="X898" s="4">
        <v>899.65</v>
      </c>
    </row>
    <row r="899" customHeight="1" spans="2:24">
      <c r="B899" s="6" t="str">
        <f t="shared" si="14"/>
        <v>43115-DT1EJ20250101-A-JIEU8018290-PARTS</v>
      </c>
      <c r="C899" t="s">
        <v>80</v>
      </c>
      <c r="D899" t="s">
        <v>81</v>
      </c>
      <c r="E899" t="s">
        <v>634</v>
      </c>
      <c r="F899" t="s">
        <v>635</v>
      </c>
      <c r="G899" s="1" t="s">
        <v>84</v>
      </c>
      <c r="I899" s="1" t="s">
        <v>85</v>
      </c>
      <c r="J899" s="1" t="s">
        <v>636</v>
      </c>
      <c r="K899" s="1" t="s">
        <v>90</v>
      </c>
      <c r="L899">
        <v>8708299009</v>
      </c>
      <c r="M899" s="2" t="s">
        <v>91</v>
      </c>
      <c r="N899" s="3" t="s">
        <v>92</v>
      </c>
      <c r="O899" s="1">
        <v>1</v>
      </c>
      <c r="P899" s="4">
        <v>20</v>
      </c>
      <c r="Q899" s="4">
        <v>1.6</v>
      </c>
      <c r="R899" s="4">
        <v>0.05</v>
      </c>
      <c r="S899" s="4">
        <v>21.65</v>
      </c>
      <c r="T899" s="5">
        <v>0.633</v>
      </c>
      <c r="U899" s="5">
        <v>0.633</v>
      </c>
      <c r="V899" s="5">
        <v>0.91</v>
      </c>
      <c r="W899" s="5">
        <v>0.91</v>
      </c>
      <c r="X899" s="4">
        <v>21.65</v>
      </c>
    </row>
    <row r="900" customHeight="1" spans="2:24">
      <c r="B900" s="6" t="str">
        <f t="shared" si="14"/>
        <v>43115-DT1EJ20250101-A-JIEU8018290-PARTS</v>
      </c>
      <c r="C900" t="s">
        <v>80</v>
      </c>
      <c r="D900" t="s">
        <v>81</v>
      </c>
      <c r="E900" t="s">
        <v>634</v>
      </c>
      <c r="F900" t="s">
        <v>635</v>
      </c>
      <c r="G900" s="1" t="s">
        <v>84</v>
      </c>
      <c r="I900" s="1" t="s">
        <v>85</v>
      </c>
      <c r="J900" s="1" t="s">
        <v>636</v>
      </c>
      <c r="K900" s="1" t="s">
        <v>93</v>
      </c>
      <c r="L900">
        <v>8708299009</v>
      </c>
      <c r="M900" s="2" t="s">
        <v>94</v>
      </c>
      <c r="N900" s="3" t="s">
        <v>95</v>
      </c>
      <c r="O900" s="1">
        <v>1</v>
      </c>
      <c r="P900" s="4">
        <v>19.64</v>
      </c>
      <c r="Q900" s="4">
        <v>1.57</v>
      </c>
      <c r="R900" s="4">
        <v>0.05</v>
      </c>
      <c r="S900" s="4">
        <v>21.26</v>
      </c>
      <c r="T900" s="5">
        <v>0.622</v>
      </c>
      <c r="U900" s="5">
        <v>0.622</v>
      </c>
      <c r="V900" s="5">
        <v>0.9</v>
      </c>
      <c r="W900" s="5">
        <v>0.9</v>
      </c>
      <c r="X900" s="4">
        <v>21.26</v>
      </c>
    </row>
    <row r="901" customHeight="1" spans="2:24">
      <c r="B901" s="6" t="str">
        <f t="shared" si="14"/>
        <v>43115-DT1EJ20250101-A-JIEU8018290-PARTS</v>
      </c>
      <c r="C901" t="s">
        <v>80</v>
      </c>
      <c r="D901" t="s">
        <v>81</v>
      </c>
      <c r="E901" t="s">
        <v>634</v>
      </c>
      <c r="F901" t="s">
        <v>635</v>
      </c>
      <c r="G901" s="1" t="s">
        <v>84</v>
      </c>
      <c r="I901" s="1" t="s">
        <v>85</v>
      </c>
      <c r="J901" s="1" t="s">
        <v>636</v>
      </c>
      <c r="K901" s="1" t="s">
        <v>87</v>
      </c>
      <c r="L901">
        <v>8708999709</v>
      </c>
      <c r="M901" s="2" t="s">
        <v>88</v>
      </c>
      <c r="N901" s="3" t="s">
        <v>89</v>
      </c>
      <c r="O901" s="1">
        <v>1</v>
      </c>
      <c r="P901" s="4">
        <v>831.11</v>
      </c>
      <c r="Q901" s="4">
        <v>66.62</v>
      </c>
      <c r="R901" s="4">
        <v>1.92</v>
      </c>
      <c r="S901" s="4">
        <v>899.65</v>
      </c>
      <c r="T901" s="5">
        <v>7.824</v>
      </c>
      <c r="U901" s="5">
        <v>7.824</v>
      </c>
      <c r="V901" s="5">
        <v>11.27</v>
      </c>
      <c r="W901" s="5">
        <v>11.27</v>
      </c>
      <c r="X901" s="4">
        <v>899.65</v>
      </c>
    </row>
    <row r="902" customHeight="1" spans="2:24">
      <c r="B902" s="6" t="str">
        <f t="shared" si="14"/>
        <v>43115-DT1EJ20250101-A-JIEU8018290-PARTS</v>
      </c>
      <c r="C902" t="s">
        <v>80</v>
      </c>
      <c r="D902" t="s">
        <v>81</v>
      </c>
      <c r="E902" t="s">
        <v>634</v>
      </c>
      <c r="F902" t="s">
        <v>635</v>
      </c>
      <c r="G902" s="1" t="s">
        <v>84</v>
      </c>
      <c r="I902" s="1" t="s">
        <v>85</v>
      </c>
      <c r="J902" s="1" t="s">
        <v>636</v>
      </c>
      <c r="K902" s="1" t="s">
        <v>90</v>
      </c>
      <c r="L902">
        <v>8708299009</v>
      </c>
      <c r="M902" s="2" t="s">
        <v>91</v>
      </c>
      <c r="N902" s="3" t="s">
        <v>92</v>
      </c>
      <c r="O902" s="1">
        <v>1</v>
      </c>
      <c r="P902" s="4">
        <v>20</v>
      </c>
      <c r="Q902" s="4">
        <v>1.6</v>
      </c>
      <c r="R902" s="4">
        <v>0.05</v>
      </c>
      <c r="S902" s="4">
        <v>21.65</v>
      </c>
      <c r="T902" s="5">
        <v>0.633</v>
      </c>
      <c r="U902" s="5">
        <v>0.633</v>
      </c>
      <c r="V902" s="5">
        <v>0.91</v>
      </c>
      <c r="W902" s="5">
        <v>0.91</v>
      </c>
      <c r="X902" s="4">
        <v>21.65</v>
      </c>
    </row>
    <row r="903" customHeight="1" spans="2:24">
      <c r="B903" s="6" t="str">
        <f t="shared" si="14"/>
        <v>43115-DT1EJ20250101-A-JIEU8018290-PARTS</v>
      </c>
      <c r="C903" t="s">
        <v>80</v>
      </c>
      <c r="D903" t="s">
        <v>81</v>
      </c>
      <c r="E903" t="s">
        <v>634</v>
      </c>
      <c r="F903" t="s">
        <v>635</v>
      </c>
      <c r="G903" s="1" t="s">
        <v>84</v>
      </c>
      <c r="I903" s="1" t="s">
        <v>85</v>
      </c>
      <c r="J903" s="1" t="s">
        <v>636</v>
      </c>
      <c r="K903" s="1" t="s">
        <v>93</v>
      </c>
      <c r="L903">
        <v>8708299009</v>
      </c>
      <c r="M903" s="2" t="s">
        <v>94</v>
      </c>
      <c r="N903" s="3" t="s">
        <v>95</v>
      </c>
      <c r="O903" s="1">
        <v>1</v>
      </c>
      <c r="P903" s="4">
        <v>19.64</v>
      </c>
      <c r="Q903" s="4">
        <v>1.57</v>
      </c>
      <c r="R903" s="4">
        <v>0.05</v>
      </c>
      <c r="S903" s="4">
        <v>21.26</v>
      </c>
      <c r="T903" s="5">
        <v>0.622</v>
      </c>
      <c r="U903" s="5">
        <v>0.622</v>
      </c>
      <c r="V903" s="5">
        <v>0.9</v>
      </c>
      <c r="W903" s="5">
        <v>0.9</v>
      </c>
      <c r="X903" s="4">
        <v>21.26</v>
      </c>
    </row>
    <row r="904" customHeight="1" spans="2:24">
      <c r="B904" s="6" t="str">
        <f t="shared" si="14"/>
        <v>43115-DT1EJ20250101-A-JIEU8018290-PARTS</v>
      </c>
      <c r="C904" t="s">
        <v>80</v>
      </c>
      <c r="D904" t="s">
        <v>81</v>
      </c>
      <c r="E904" t="s">
        <v>634</v>
      </c>
      <c r="F904" t="s">
        <v>635</v>
      </c>
      <c r="G904" s="1" t="s">
        <v>84</v>
      </c>
      <c r="I904" s="1" t="s">
        <v>85</v>
      </c>
      <c r="J904" s="1" t="s">
        <v>636</v>
      </c>
      <c r="K904" s="1" t="s">
        <v>87</v>
      </c>
      <c r="L904">
        <v>8708999709</v>
      </c>
      <c r="M904" s="2" t="s">
        <v>88</v>
      </c>
      <c r="N904" s="3" t="s">
        <v>89</v>
      </c>
      <c r="O904" s="1">
        <v>1</v>
      </c>
      <c r="P904" s="4">
        <v>831.11</v>
      </c>
      <c r="Q904" s="4">
        <v>66.62</v>
      </c>
      <c r="R904" s="4">
        <v>1.92</v>
      </c>
      <c r="S904" s="4">
        <v>899.65</v>
      </c>
      <c r="T904" s="5">
        <v>7.824</v>
      </c>
      <c r="U904" s="5">
        <v>7.824</v>
      </c>
      <c r="V904" s="5">
        <v>11.27</v>
      </c>
      <c r="W904" s="5">
        <v>11.27</v>
      </c>
      <c r="X904" s="4">
        <v>899.65</v>
      </c>
    </row>
    <row r="905" customHeight="1" spans="2:24">
      <c r="B905" s="6" t="str">
        <f t="shared" si="14"/>
        <v>43115-DT1EJ20250101-A-JIEU8018290-PARTS</v>
      </c>
      <c r="C905" t="s">
        <v>80</v>
      </c>
      <c r="D905" t="s">
        <v>81</v>
      </c>
      <c r="E905" t="s">
        <v>634</v>
      </c>
      <c r="F905" t="s">
        <v>635</v>
      </c>
      <c r="G905" s="1" t="s">
        <v>84</v>
      </c>
      <c r="I905" s="1" t="s">
        <v>85</v>
      </c>
      <c r="J905" s="1" t="s">
        <v>636</v>
      </c>
      <c r="K905" s="1" t="s">
        <v>90</v>
      </c>
      <c r="L905">
        <v>8708299009</v>
      </c>
      <c r="M905" s="2" t="s">
        <v>91</v>
      </c>
      <c r="N905" s="3" t="s">
        <v>92</v>
      </c>
      <c r="O905" s="1">
        <v>1</v>
      </c>
      <c r="P905" s="4">
        <v>20</v>
      </c>
      <c r="Q905" s="4">
        <v>1.6</v>
      </c>
      <c r="R905" s="4">
        <v>0.05</v>
      </c>
      <c r="S905" s="4">
        <v>21.65</v>
      </c>
      <c r="T905" s="5">
        <v>0.633</v>
      </c>
      <c r="U905" s="5">
        <v>0.633</v>
      </c>
      <c r="V905" s="5">
        <v>0.91</v>
      </c>
      <c r="W905" s="5">
        <v>0.91</v>
      </c>
      <c r="X905" s="4">
        <v>21.65</v>
      </c>
    </row>
    <row r="906" customHeight="1" spans="2:24">
      <c r="B906" s="6" t="str">
        <f t="shared" si="14"/>
        <v>43115-DT1EJ20250101-A-JIEU8018290-PARTS</v>
      </c>
      <c r="C906" t="s">
        <v>80</v>
      </c>
      <c r="D906" t="s">
        <v>81</v>
      </c>
      <c r="E906" t="s">
        <v>634</v>
      </c>
      <c r="F906" t="s">
        <v>635</v>
      </c>
      <c r="G906" s="1" t="s">
        <v>84</v>
      </c>
      <c r="I906" s="1" t="s">
        <v>85</v>
      </c>
      <c r="J906" s="1" t="s">
        <v>636</v>
      </c>
      <c r="K906" s="1" t="s">
        <v>93</v>
      </c>
      <c r="L906">
        <v>8708299009</v>
      </c>
      <c r="M906" s="2" t="s">
        <v>94</v>
      </c>
      <c r="N906" s="3" t="s">
        <v>95</v>
      </c>
      <c r="O906" s="1">
        <v>1</v>
      </c>
      <c r="P906" s="4">
        <v>19.64</v>
      </c>
      <c r="Q906" s="4">
        <v>1.57</v>
      </c>
      <c r="R906" s="4">
        <v>0.05</v>
      </c>
      <c r="S906" s="4">
        <v>21.26</v>
      </c>
      <c r="T906" s="5">
        <v>0.622</v>
      </c>
      <c r="U906" s="5">
        <v>0.622</v>
      </c>
      <c r="V906" s="5">
        <v>0.9</v>
      </c>
      <c r="W906" s="5">
        <v>0.9</v>
      </c>
      <c r="X906" s="4">
        <v>21.26</v>
      </c>
    </row>
    <row r="907" customHeight="1" spans="2:24">
      <c r="B907" s="6" t="str">
        <f t="shared" si="14"/>
        <v>43115-DT1EJ20250101-A-JIEU8018290-PARTS</v>
      </c>
      <c r="C907" t="s">
        <v>80</v>
      </c>
      <c r="D907" t="s">
        <v>81</v>
      </c>
      <c r="E907" t="s">
        <v>634</v>
      </c>
      <c r="F907" t="s">
        <v>635</v>
      </c>
      <c r="G907" s="1" t="s">
        <v>84</v>
      </c>
      <c r="I907" s="1" t="s">
        <v>85</v>
      </c>
      <c r="J907" s="1" t="s">
        <v>636</v>
      </c>
      <c r="K907" s="1" t="s">
        <v>87</v>
      </c>
      <c r="L907">
        <v>8708999709</v>
      </c>
      <c r="M907" s="2" t="s">
        <v>88</v>
      </c>
      <c r="N907" s="3" t="s">
        <v>89</v>
      </c>
      <c r="O907" s="1">
        <v>1</v>
      </c>
      <c r="P907" s="4">
        <v>831.11</v>
      </c>
      <c r="Q907" s="4">
        <v>66.62</v>
      </c>
      <c r="R907" s="4">
        <v>1.92</v>
      </c>
      <c r="S907" s="4">
        <v>899.65</v>
      </c>
      <c r="T907" s="5">
        <v>7.824</v>
      </c>
      <c r="U907" s="5">
        <v>7.824</v>
      </c>
      <c r="V907" s="5">
        <v>11.27</v>
      </c>
      <c r="W907" s="5">
        <v>11.27</v>
      </c>
      <c r="X907" s="4">
        <v>899.65</v>
      </c>
    </row>
    <row r="908" customHeight="1" spans="2:24">
      <c r="B908" s="6" t="str">
        <f t="shared" si="14"/>
        <v>43115-DT1EJ20250101-A-JIEU8018290-PARTS</v>
      </c>
      <c r="C908" t="s">
        <v>80</v>
      </c>
      <c r="D908" t="s">
        <v>81</v>
      </c>
      <c r="E908" t="s">
        <v>634</v>
      </c>
      <c r="F908" t="s">
        <v>635</v>
      </c>
      <c r="G908" s="1" t="s">
        <v>84</v>
      </c>
      <c r="I908" s="1" t="s">
        <v>85</v>
      </c>
      <c r="J908" s="1" t="s">
        <v>636</v>
      </c>
      <c r="K908" s="1" t="s">
        <v>90</v>
      </c>
      <c r="L908">
        <v>8708299009</v>
      </c>
      <c r="M908" s="2" t="s">
        <v>91</v>
      </c>
      <c r="N908" s="3" t="s">
        <v>92</v>
      </c>
      <c r="O908" s="1">
        <v>1</v>
      </c>
      <c r="P908" s="4">
        <v>20</v>
      </c>
      <c r="Q908" s="4">
        <v>1.6</v>
      </c>
      <c r="R908" s="4">
        <v>0.05</v>
      </c>
      <c r="S908" s="4">
        <v>21.65</v>
      </c>
      <c r="T908" s="5">
        <v>0.633</v>
      </c>
      <c r="U908" s="5">
        <v>0.633</v>
      </c>
      <c r="V908" s="5">
        <v>0.91</v>
      </c>
      <c r="W908" s="5">
        <v>0.91</v>
      </c>
      <c r="X908" s="4">
        <v>21.65</v>
      </c>
    </row>
    <row r="909" customHeight="1" spans="2:24">
      <c r="B909" s="6" t="str">
        <f t="shared" si="14"/>
        <v>43115-DT1EJ20250101-A-JIEU8018290-PARTS</v>
      </c>
      <c r="C909" t="s">
        <v>80</v>
      </c>
      <c r="D909" t="s">
        <v>81</v>
      </c>
      <c r="E909" t="s">
        <v>634</v>
      </c>
      <c r="F909" t="s">
        <v>635</v>
      </c>
      <c r="G909" s="1" t="s">
        <v>84</v>
      </c>
      <c r="I909" s="1" t="s">
        <v>85</v>
      </c>
      <c r="J909" s="1" t="s">
        <v>636</v>
      </c>
      <c r="K909" s="1" t="s">
        <v>93</v>
      </c>
      <c r="L909">
        <v>8708299009</v>
      </c>
      <c r="M909" s="2" t="s">
        <v>94</v>
      </c>
      <c r="N909" s="3" t="s">
        <v>95</v>
      </c>
      <c r="O909" s="1">
        <v>1</v>
      </c>
      <c r="P909" s="4">
        <v>19.64</v>
      </c>
      <c r="Q909" s="4">
        <v>1.57</v>
      </c>
      <c r="R909" s="4">
        <v>0.05</v>
      </c>
      <c r="S909" s="4">
        <v>21.26</v>
      </c>
      <c r="T909" s="5">
        <v>0.622</v>
      </c>
      <c r="U909" s="5">
        <v>0.622</v>
      </c>
      <c r="V909" s="5">
        <v>0.9</v>
      </c>
      <c r="W909" s="5">
        <v>0.9</v>
      </c>
      <c r="X909" s="4">
        <v>21.26</v>
      </c>
    </row>
    <row r="910" customHeight="1" spans="2:24">
      <c r="B910" s="6" t="str">
        <f t="shared" si="14"/>
        <v>43115-DT1EJ20250101-A-JIEU8018290-PARTS</v>
      </c>
      <c r="C910" t="s">
        <v>80</v>
      </c>
      <c r="D910" t="s">
        <v>81</v>
      </c>
      <c r="E910" t="s">
        <v>634</v>
      </c>
      <c r="F910" t="s">
        <v>635</v>
      </c>
      <c r="G910" s="1" t="s">
        <v>84</v>
      </c>
      <c r="I910" s="1" t="s">
        <v>85</v>
      </c>
      <c r="J910" s="1" t="s">
        <v>636</v>
      </c>
      <c r="K910" s="1" t="s">
        <v>87</v>
      </c>
      <c r="L910">
        <v>8708999709</v>
      </c>
      <c r="M910" s="2" t="s">
        <v>88</v>
      </c>
      <c r="N910" s="3" t="s">
        <v>89</v>
      </c>
      <c r="O910" s="1">
        <v>1</v>
      </c>
      <c r="P910" s="4">
        <v>831.11</v>
      </c>
      <c r="Q910" s="4">
        <v>66.62</v>
      </c>
      <c r="R910" s="4">
        <v>1.92</v>
      </c>
      <c r="S910" s="4">
        <v>899.65</v>
      </c>
      <c r="T910" s="5">
        <v>7.824</v>
      </c>
      <c r="U910" s="5">
        <v>7.824</v>
      </c>
      <c r="V910" s="5">
        <v>11.27</v>
      </c>
      <c r="W910" s="5">
        <v>11.27</v>
      </c>
      <c r="X910" s="4">
        <v>899.65</v>
      </c>
    </row>
    <row r="911" customHeight="1" spans="2:24">
      <c r="B911" s="6" t="str">
        <f t="shared" si="14"/>
        <v>43115-DT1EJ20250101-A-JIEU8018290-PARTS</v>
      </c>
      <c r="C911" t="s">
        <v>80</v>
      </c>
      <c r="D911" t="s">
        <v>81</v>
      </c>
      <c r="E911" t="s">
        <v>634</v>
      </c>
      <c r="F911" t="s">
        <v>635</v>
      </c>
      <c r="G911" s="1" t="s">
        <v>84</v>
      </c>
      <c r="I911" s="1" t="s">
        <v>85</v>
      </c>
      <c r="J911" s="1" t="s">
        <v>636</v>
      </c>
      <c r="K911" s="1" t="s">
        <v>90</v>
      </c>
      <c r="L911">
        <v>8708299009</v>
      </c>
      <c r="M911" s="2" t="s">
        <v>91</v>
      </c>
      <c r="N911" s="3" t="s">
        <v>92</v>
      </c>
      <c r="O911" s="1">
        <v>1</v>
      </c>
      <c r="P911" s="4">
        <v>20</v>
      </c>
      <c r="Q911" s="4">
        <v>1.6</v>
      </c>
      <c r="R911" s="4">
        <v>0.05</v>
      </c>
      <c r="S911" s="4">
        <v>21.65</v>
      </c>
      <c r="T911" s="5">
        <v>0.633</v>
      </c>
      <c r="U911" s="5">
        <v>0.633</v>
      </c>
      <c r="V911" s="5">
        <v>0.91</v>
      </c>
      <c r="W911" s="5">
        <v>0.91</v>
      </c>
      <c r="X911" s="4">
        <v>21.65</v>
      </c>
    </row>
    <row r="912" customHeight="1" spans="2:24">
      <c r="B912" s="6" t="str">
        <f t="shared" si="14"/>
        <v>43115-DT1EJ20250101-A-JIEU8018290-PARTS</v>
      </c>
      <c r="C912" t="s">
        <v>80</v>
      </c>
      <c r="D912" t="s">
        <v>81</v>
      </c>
      <c r="E912" t="s">
        <v>634</v>
      </c>
      <c r="F912" t="s">
        <v>635</v>
      </c>
      <c r="G912" s="1" t="s">
        <v>84</v>
      </c>
      <c r="I912" s="1" t="s">
        <v>85</v>
      </c>
      <c r="J912" s="1" t="s">
        <v>636</v>
      </c>
      <c r="K912" s="1" t="s">
        <v>93</v>
      </c>
      <c r="L912">
        <v>8708299009</v>
      </c>
      <c r="M912" s="2" t="s">
        <v>94</v>
      </c>
      <c r="N912" s="3" t="s">
        <v>95</v>
      </c>
      <c r="O912" s="1">
        <v>1</v>
      </c>
      <c r="P912" s="4">
        <v>19.64</v>
      </c>
      <c r="Q912" s="4">
        <v>1.57</v>
      </c>
      <c r="R912" s="4">
        <v>0.05</v>
      </c>
      <c r="S912" s="4">
        <v>21.26</v>
      </c>
      <c r="T912" s="5">
        <v>0.622</v>
      </c>
      <c r="U912" s="5">
        <v>0.622</v>
      </c>
      <c r="V912" s="5">
        <v>0.9</v>
      </c>
      <c r="W912" s="5">
        <v>0.9</v>
      </c>
      <c r="X912" s="4">
        <v>21.26</v>
      </c>
    </row>
    <row r="913" customHeight="1" spans="2:28">
      <c r="B913" s="6" t="str">
        <f t="shared" si="14"/>
        <v>43115-DT1EJ20250101-A-JIEU8018290-PARTS</v>
      </c>
      <c r="C913" t="s">
        <v>80</v>
      </c>
      <c r="D913" t="s">
        <v>81</v>
      </c>
      <c r="E913" t="s">
        <v>634</v>
      </c>
      <c r="F913" t="s">
        <v>635</v>
      </c>
      <c r="G913" s="1" t="s">
        <v>84</v>
      </c>
      <c r="I913" s="1" t="s">
        <v>85</v>
      </c>
      <c r="J913" s="1" t="s">
        <v>636</v>
      </c>
      <c r="K913" s="1" t="s">
        <v>87</v>
      </c>
      <c r="L913">
        <v>8708999709</v>
      </c>
      <c r="M913" s="2" t="s">
        <v>88</v>
      </c>
      <c r="N913" s="3" t="s">
        <v>89</v>
      </c>
      <c r="O913" s="1">
        <v>1</v>
      </c>
      <c r="P913" s="4">
        <v>831.11</v>
      </c>
      <c r="Q913" s="4">
        <v>66.62</v>
      </c>
      <c r="R913" s="4">
        <v>1.92</v>
      </c>
      <c r="S913" s="4">
        <v>899.65</v>
      </c>
      <c r="T913" s="5">
        <v>7.824</v>
      </c>
      <c r="U913" s="5">
        <v>7.824</v>
      </c>
      <c r="V913" s="5">
        <v>11.27</v>
      </c>
      <c r="W913" s="5">
        <v>11.27</v>
      </c>
      <c r="X913" s="4">
        <v>899.65</v>
      </c>
    </row>
    <row r="914" customHeight="1" spans="2:28">
      <c r="B914" s="6" t="str">
        <f t="shared" si="14"/>
        <v>43115-DT1EJ20250101-A-JIEU8018290-PARTS</v>
      </c>
      <c r="C914" s="29" t="s">
        <v>80</v>
      </c>
      <c r="D914" s="30" t="s">
        <v>81</v>
      </c>
      <c r="E914" s="30" t="s">
        <v>634</v>
      </c>
      <c r="F914" s="30" t="s">
        <v>635</v>
      </c>
      <c r="G914" s="31" t="s">
        <v>84</v>
      </c>
      <c r="H914" s="31"/>
      <c r="I914" s="31" t="s">
        <v>85</v>
      </c>
      <c r="J914" s="31" t="s">
        <v>636</v>
      </c>
      <c r="K914" s="31" t="s">
        <v>90</v>
      </c>
      <c r="L914" s="31">
        <v>8708299009</v>
      </c>
      <c r="M914" s="32" t="s">
        <v>91</v>
      </c>
      <c r="N914" s="33" t="s">
        <v>92</v>
      </c>
      <c r="O914" s="31">
        <v>1</v>
      </c>
      <c r="P914" s="34">
        <v>20</v>
      </c>
      <c r="Q914" s="34">
        <v>1.6</v>
      </c>
      <c r="R914" s="34">
        <v>0.05</v>
      </c>
      <c r="S914" s="34">
        <v>21.65</v>
      </c>
      <c r="T914" s="35">
        <v>0.633</v>
      </c>
      <c r="U914" s="35">
        <v>0.633</v>
      </c>
      <c r="V914" s="35">
        <v>0.91</v>
      </c>
      <c r="W914" s="35">
        <v>0.91</v>
      </c>
      <c r="X914" s="34">
        <v>21.65</v>
      </c>
      <c r="Y914" s="31"/>
      <c r="Z914" s="31"/>
      <c r="AA914" s="31"/>
      <c r="AB914" s="31"/>
    </row>
    <row r="915" customHeight="1" spans="2:28">
      <c r="B915" s="6" t="str">
        <f t="shared" si="14"/>
        <v>43115-DT1EJ20250101-A-JIEU8018290-PARTS</v>
      </c>
      <c r="C915" s="29" t="s">
        <v>80</v>
      </c>
      <c r="D915" s="30" t="s">
        <v>81</v>
      </c>
      <c r="E915" s="30" t="s">
        <v>634</v>
      </c>
      <c r="F915" s="30" t="s">
        <v>635</v>
      </c>
      <c r="G915" s="31" t="s">
        <v>84</v>
      </c>
      <c r="H915" s="31"/>
      <c r="I915" s="31" t="s">
        <v>85</v>
      </c>
      <c r="J915" s="31" t="s">
        <v>636</v>
      </c>
      <c r="K915" s="31" t="s">
        <v>93</v>
      </c>
      <c r="L915" s="31">
        <v>8708299009</v>
      </c>
      <c r="M915" s="32" t="s">
        <v>94</v>
      </c>
      <c r="N915" s="33" t="s">
        <v>95</v>
      </c>
      <c r="O915" s="31">
        <v>1</v>
      </c>
      <c r="P915" s="34">
        <v>19.64</v>
      </c>
      <c r="Q915" s="34">
        <v>1.57</v>
      </c>
      <c r="R915" s="34">
        <v>0.05</v>
      </c>
      <c r="S915" s="34">
        <v>21.26</v>
      </c>
      <c r="T915" s="35">
        <v>0.622</v>
      </c>
      <c r="U915" s="35">
        <v>0.622</v>
      </c>
      <c r="V915" s="35">
        <v>0.9</v>
      </c>
      <c r="W915" s="35">
        <v>0.9</v>
      </c>
      <c r="X915" s="34">
        <v>21.26</v>
      </c>
      <c r="Y915" s="31"/>
      <c r="Z915" s="31"/>
      <c r="AA915" s="31"/>
      <c r="AB915" s="31"/>
    </row>
    <row r="916" customHeight="1" spans="2:28">
      <c r="B916" s="6" t="str">
        <f t="shared" si="14"/>
        <v>43115-DT1EJ20250101-A-JIEU8018290-PARTS</v>
      </c>
      <c r="C916" s="29" t="s">
        <v>80</v>
      </c>
      <c r="D916" s="30" t="s">
        <v>81</v>
      </c>
      <c r="E916" s="30" t="s">
        <v>634</v>
      </c>
      <c r="F916" s="30" t="s">
        <v>635</v>
      </c>
      <c r="G916" s="31" t="s">
        <v>84</v>
      </c>
      <c r="H916" s="31"/>
      <c r="I916" s="31" t="s">
        <v>85</v>
      </c>
      <c r="J916" s="31" t="s">
        <v>636</v>
      </c>
      <c r="K916" s="31" t="s">
        <v>87</v>
      </c>
      <c r="L916" s="31">
        <v>8708999709</v>
      </c>
      <c r="M916" s="32" t="s">
        <v>88</v>
      </c>
      <c r="N916" s="33" t="s">
        <v>89</v>
      </c>
      <c r="O916" s="31">
        <v>1</v>
      </c>
      <c r="P916" s="34">
        <v>831.11</v>
      </c>
      <c r="Q916" s="34">
        <v>66.62</v>
      </c>
      <c r="R916" s="34">
        <v>1.92</v>
      </c>
      <c r="S916" s="34">
        <v>899.65</v>
      </c>
      <c r="T916" s="35">
        <v>7.824</v>
      </c>
      <c r="U916" s="35">
        <v>7.824</v>
      </c>
      <c r="V916" s="35">
        <v>11.27</v>
      </c>
      <c r="W916" s="35">
        <v>11.27</v>
      </c>
      <c r="X916" s="34">
        <v>899.65</v>
      </c>
      <c r="Y916" s="31"/>
      <c r="Z916" s="31"/>
      <c r="AA916" s="31"/>
      <c r="AB916" s="31"/>
    </row>
    <row r="917" customHeight="1" spans="2:28">
      <c r="B917" s="6" t="str">
        <f t="shared" si="14"/>
        <v>43115-DT1EJ20250101-A-JIEU8018290-PARTS</v>
      </c>
      <c r="C917" s="29" t="s">
        <v>80</v>
      </c>
      <c r="D917" s="30" t="s">
        <v>81</v>
      </c>
      <c r="E917" s="30" t="s">
        <v>634</v>
      </c>
      <c r="F917" s="30" t="s">
        <v>635</v>
      </c>
      <c r="G917" s="31" t="s">
        <v>84</v>
      </c>
      <c r="H917" s="31"/>
      <c r="I917" s="31" t="s">
        <v>85</v>
      </c>
      <c r="J917" s="31" t="s">
        <v>636</v>
      </c>
      <c r="K917" s="31" t="s">
        <v>90</v>
      </c>
      <c r="L917" s="31">
        <v>8708299009</v>
      </c>
      <c r="M917" s="32" t="s">
        <v>91</v>
      </c>
      <c r="N917" s="33" t="s">
        <v>92</v>
      </c>
      <c r="O917" s="31">
        <v>1</v>
      </c>
      <c r="P917" s="34">
        <v>20</v>
      </c>
      <c r="Q917" s="34">
        <v>1.6</v>
      </c>
      <c r="R917" s="34">
        <v>0.05</v>
      </c>
      <c r="S917" s="34">
        <v>21.65</v>
      </c>
      <c r="T917" s="35">
        <v>0.633</v>
      </c>
      <c r="U917" s="35">
        <v>0.633</v>
      </c>
      <c r="V917" s="35">
        <v>0.91</v>
      </c>
      <c r="W917" s="35">
        <v>0.91</v>
      </c>
      <c r="X917" s="34">
        <v>21.65</v>
      </c>
      <c r="Y917" s="31"/>
      <c r="Z917" s="31"/>
      <c r="AA917" s="31"/>
      <c r="AB917" s="31"/>
    </row>
    <row r="918" customHeight="1" spans="2:28">
      <c r="B918" s="6" t="str">
        <f t="shared" si="14"/>
        <v>43115-DT1EJ20250101-A-JIEU8018290-PARTS</v>
      </c>
      <c r="C918" s="29" t="s">
        <v>80</v>
      </c>
      <c r="D918" s="30" t="s">
        <v>81</v>
      </c>
      <c r="E918" s="30" t="s">
        <v>634</v>
      </c>
      <c r="F918" s="30" t="s">
        <v>635</v>
      </c>
      <c r="G918" s="31" t="s">
        <v>84</v>
      </c>
      <c r="H918" s="31"/>
      <c r="I918" s="31" t="s">
        <v>85</v>
      </c>
      <c r="J918" s="31" t="s">
        <v>636</v>
      </c>
      <c r="K918" s="31" t="s">
        <v>93</v>
      </c>
      <c r="L918" s="31">
        <v>8708299009</v>
      </c>
      <c r="M918" s="32" t="s">
        <v>94</v>
      </c>
      <c r="N918" s="33" t="s">
        <v>95</v>
      </c>
      <c r="O918" s="31">
        <v>1</v>
      </c>
      <c r="P918" s="34">
        <v>19.64</v>
      </c>
      <c r="Q918" s="34">
        <v>1.57</v>
      </c>
      <c r="R918" s="34">
        <v>0.05</v>
      </c>
      <c r="S918" s="34">
        <v>21.26</v>
      </c>
      <c r="T918" s="35">
        <v>0.622</v>
      </c>
      <c r="U918" s="35">
        <v>0.622</v>
      </c>
      <c r="V918" s="35">
        <v>0.9</v>
      </c>
      <c r="W918" s="35">
        <v>0.9</v>
      </c>
      <c r="X918" s="34">
        <v>21.26</v>
      </c>
      <c r="Y918" s="31"/>
      <c r="Z918" s="31"/>
      <c r="AA918" s="31"/>
      <c r="AB918" s="31"/>
    </row>
    <row r="919" customHeight="1" spans="2:28">
      <c r="B919" s="6" t="str">
        <f t="shared" si="14"/>
        <v>43115-DT1EJ20250101-A-JIEU8018290-PARTS</v>
      </c>
      <c r="C919" s="29" t="s">
        <v>80</v>
      </c>
      <c r="D919" s="30" t="s">
        <v>81</v>
      </c>
      <c r="E919" s="30" t="s">
        <v>634</v>
      </c>
      <c r="F919" s="30" t="s">
        <v>635</v>
      </c>
      <c r="G919" s="31" t="s">
        <v>84</v>
      </c>
      <c r="H919" s="31"/>
      <c r="I919" s="31" t="s">
        <v>85</v>
      </c>
      <c r="J919" s="31" t="s">
        <v>636</v>
      </c>
      <c r="K919" s="31" t="s">
        <v>87</v>
      </c>
      <c r="L919" s="31">
        <v>8708999709</v>
      </c>
      <c r="M919" s="32" t="s">
        <v>88</v>
      </c>
      <c r="N919" s="33" t="s">
        <v>89</v>
      </c>
      <c r="O919" s="31">
        <v>1</v>
      </c>
      <c r="P919" s="34">
        <v>831.11</v>
      </c>
      <c r="Q919" s="34">
        <v>66.62</v>
      </c>
      <c r="R919" s="34">
        <v>1.92</v>
      </c>
      <c r="S919" s="34">
        <v>899.65</v>
      </c>
      <c r="T919" s="35">
        <v>7.824</v>
      </c>
      <c r="U919" s="35">
        <v>7.824</v>
      </c>
      <c r="V919" s="35">
        <v>11.27</v>
      </c>
      <c r="W919" s="35">
        <v>11.27</v>
      </c>
      <c r="X919" s="34">
        <v>899.65</v>
      </c>
      <c r="Y919" s="31"/>
      <c r="Z919" s="31"/>
      <c r="AA919" s="31"/>
      <c r="AB919" s="31"/>
    </row>
    <row r="920" customHeight="1" spans="2:28">
      <c r="B920" s="6" t="str">
        <f t="shared" si="14"/>
        <v>43115-DT1EJ20250101-A-JIEU8018290-PARTS</v>
      </c>
      <c r="C920" s="29" t="s">
        <v>80</v>
      </c>
      <c r="D920" s="30" t="s">
        <v>81</v>
      </c>
      <c r="E920" s="30" t="s">
        <v>634</v>
      </c>
      <c r="F920" s="30" t="s">
        <v>635</v>
      </c>
      <c r="G920" s="31" t="s">
        <v>84</v>
      </c>
      <c r="H920" s="31"/>
      <c r="I920" s="31" t="s">
        <v>85</v>
      </c>
      <c r="J920" s="31" t="s">
        <v>636</v>
      </c>
      <c r="K920" s="31" t="s">
        <v>90</v>
      </c>
      <c r="L920" s="31">
        <v>8708299009</v>
      </c>
      <c r="M920" s="32" t="s">
        <v>91</v>
      </c>
      <c r="N920" s="33" t="s">
        <v>92</v>
      </c>
      <c r="O920" s="31">
        <v>1</v>
      </c>
      <c r="P920" s="34">
        <v>20</v>
      </c>
      <c r="Q920" s="34">
        <v>1.6</v>
      </c>
      <c r="R920" s="34">
        <v>0.05</v>
      </c>
      <c r="S920" s="34">
        <v>21.65</v>
      </c>
      <c r="T920" s="35">
        <v>0.633</v>
      </c>
      <c r="U920" s="35">
        <v>0.633</v>
      </c>
      <c r="V920" s="35">
        <v>0.91</v>
      </c>
      <c r="W920" s="35">
        <v>0.91</v>
      </c>
      <c r="X920" s="34">
        <v>21.65</v>
      </c>
      <c r="Y920" s="31"/>
      <c r="Z920" s="31"/>
      <c r="AA920" s="31"/>
      <c r="AB920" s="31"/>
    </row>
    <row r="921" customHeight="1" spans="2:28">
      <c r="B921" s="6" t="str">
        <f t="shared" si="14"/>
        <v>43115-DT1EJ20250101-A-JIEU8018290-PARTS</v>
      </c>
      <c r="C921" s="29" t="s">
        <v>80</v>
      </c>
      <c r="D921" s="30" t="s">
        <v>81</v>
      </c>
      <c r="E921" s="30" t="s">
        <v>634</v>
      </c>
      <c r="F921" s="30" t="s">
        <v>635</v>
      </c>
      <c r="G921" s="31" t="s">
        <v>84</v>
      </c>
      <c r="H921" s="31"/>
      <c r="I921" s="31" t="s">
        <v>85</v>
      </c>
      <c r="J921" s="31" t="s">
        <v>636</v>
      </c>
      <c r="K921" s="31" t="s">
        <v>93</v>
      </c>
      <c r="L921" s="31">
        <v>8708299009</v>
      </c>
      <c r="M921" s="32" t="s">
        <v>94</v>
      </c>
      <c r="N921" s="33" t="s">
        <v>95</v>
      </c>
      <c r="O921" s="31">
        <v>1</v>
      </c>
      <c r="P921" s="34">
        <v>19.64</v>
      </c>
      <c r="Q921" s="34">
        <v>1.57</v>
      </c>
      <c r="R921" s="34">
        <v>0.05</v>
      </c>
      <c r="S921" s="34">
        <v>21.26</v>
      </c>
      <c r="T921" s="35">
        <v>0.622</v>
      </c>
      <c r="U921" s="35">
        <v>0.622</v>
      </c>
      <c r="V921" s="35">
        <v>0.9</v>
      </c>
      <c r="W921" s="35">
        <v>0.9</v>
      </c>
      <c r="X921" s="34">
        <v>21.26</v>
      </c>
      <c r="Y921" s="31"/>
      <c r="Z921" s="31"/>
      <c r="AA921" s="31"/>
      <c r="AB921" s="31"/>
    </row>
    <row r="922" customHeight="1" spans="2:28">
      <c r="B922" s="6" t="str">
        <f t="shared" si="14"/>
        <v>43115-DT1EJ20250101-A-JIEU8018290-PARTS</v>
      </c>
      <c r="C922" s="29" t="s">
        <v>80</v>
      </c>
      <c r="D922" s="30" t="s">
        <v>81</v>
      </c>
      <c r="E922" s="30" t="s">
        <v>634</v>
      </c>
      <c r="F922" s="30" t="s">
        <v>635</v>
      </c>
      <c r="G922" s="31" t="s">
        <v>84</v>
      </c>
      <c r="H922" s="31"/>
      <c r="I922" s="31" t="s">
        <v>85</v>
      </c>
      <c r="J922" s="31" t="s">
        <v>636</v>
      </c>
      <c r="K922" s="31" t="s">
        <v>87</v>
      </c>
      <c r="L922" s="31">
        <v>8708999709</v>
      </c>
      <c r="M922" s="32" t="s">
        <v>88</v>
      </c>
      <c r="N922" s="33" t="s">
        <v>89</v>
      </c>
      <c r="O922" s="31">
        <v>1</v>
      </c>
      <c r="P922" s="34">
        <v>831.11</v>
      </c>
      <c r="Q922" s="34">
        <v>66.62</v>
      </c>
      <c r="R922" s="34">
        <v>1.92</v>
      </c>
      <c r="S922" s="34">
        <v>899.65</v>
      </c>
      <c r="T922" s="35">
        <v>7.824</v>
      </c>
      <c r="U922" s="35">
        <v>7.824</v>
      </c>
      <c r="V922" s="35">
        <v>11.27</v>
      </c>
      <c r="W922" s="35">
        <v>11.27</v>
      </c>
      <c r="X922" s="34">
        <v>899.65</v>
      </c>
      <c r="Y922" s="31"/>
      <c r="Z922" s="31"/>
      <c r="AA922" s="31"/>
      <c r="AB922" s="31"/>
    </row>
    <row r="923" customHeight="1" spans="2:28">
      <c r="B923" s="6" t="str">
        <f t="shared" si="14"/>
        <v>43115-DT1EJ20250101-A-JIEU8018290-PARTS</v>
      </c>
      <c r="C923" s="29" t="s">
        <v>80</v>
      </c>
      <c r="D923" s="30" t="s">
        <v>81</v>
      </c>
      <c r="E923" s="30" t="s">
        <v>634</v>
      </c>
      <c r="F923" s="30" t="s">
        <v>635</v>
      </c>
      <c r="G923" s="31" t="s">
        <v>84</v>
      </c>
      <c r="H923" s="31"/>
      <c r="I923" s="31" t="s">
        <v>85</v>
      </c>
      <c r="J923" s="31" t="s">
        <v>636</v>
      </c>
      <c r="K923" s="31" t="s">
        <v>90</v>
      </c>
      <c r="L923" s="31">
        <v>8708299009</v>
      </c>
      <c r="M923" s="32" t="s">
        <v>91</v>
      </c>
      <c r="N923" s="33" t="s">
        <v>92</v>
      </c>
      <c r="O923" s="31">
        <v>1</v>
      </c>
      <c r="P923" s="34">
        <v>20</v>
      </c>
      <c r="Q923" s="34">
        <v>1.6</v>
      </c>
      <c r="R923" s="34">
        <v>0.05</v>
      </c>
      <c r="S923" s="34">
        <v>21.65</v>
      </c>
      <c r="T923" s="35">
        <v>0.633</v>
      </c>
      <c r="U923" s="35">
        <v>0.633</v>
      </c>
      <c r="V923" s="35">
        <v>0.91</v>
      </c>
      <c r="W923" s="35">
        <v>0.91</v>
      </c>
      <c r="X923" s="34">
        <v>21.65</v>
      </c>
      <c r="Y923" s="31"/>
      <c r="Z923" s="31"/>
      <c r="AA923" s="31"/>
      <c r="AB923" s="31"/>
    </row>
    <row r="924" customHeight="1" spans="2:28">
      <c r="B924" s="6" t="str">
        <f t="shared" si="14"/>
        <v>43115-DT1EJ20250101-A-JIEU8018290-PARTS</v>
      </c>
      <c r="C924" s="29" t="s">
        <v>80</v>
      </c>
      <c r="D924" s="30" t="s">
        <v>81</v>
      </c>
      <c r="E924" s="30" t="s">
        <v>634</v>
      </c>
      <c r="F924" s="30" t="s">
        <v>635</v>
      </c>
      <c r="G924" s="31" t="s">
        <v>84</v>
      </c>
      <c r="H924" s="31"/>
      <c r="I924" s="31" t="s">
        <v>85</v>
      </c>
      <c r="J924" s="31" t="s">
        <v>636</v>
      </c>
      <c r="K924" s="31" t="s">
        <v>93</v>
      </c>
      <c r="L924" s="31">
        <v>8708299009</v>
      </c>
      <c r="M924" s="32" t="s">
        <v>94</v>
      </c>
      <c r="N924" s="33" t="s">
        <v>95</v>
      </c>
      <c r="O924" s="31">
        <v>1</v>
      </c>
      <c r="P924" s="34">
        <v>19.64</v>
      </c>
      <c r="Q924" s="34">
        <v>1.57</v>
      </c>
      <c r="R924" s="34">
        <v>0.05</v>
      </c>
      <c r="S924" s="34">
        <v>21.26</v>
      </c>
      <c r="T924" s="35">
        <v>0.622</v>
      </c>
      <c r="U924" s="35">
        <v>0.622</v>
      </c>
      <c r="V924" s="35">
        <v>0.9</v>
      </c>
      <c r="W924" s="35">
        <v>0.9</v>
      </c>
      <c r="X924" s="34">
        <v>21.26</v>
      </c>
      <c r="Y924" s="31"/>
      <c r="Z924" s="31"/>
      <c r="AA924" s="31"/>
      <c r="AB924" s="31"/>
    </row>
    <row r="925" customHeight="1" spans="2:28">
      <c r="B925" s="6" t="str">
        <f t="shared" si="14"/>
        <v>43115-DT1EJ20250101-A-JIEU8018290-PARTS</v>
      </c>
      <c r="C925" t="s">
        <v>80</v>
      </c>
      <c r="D925" t="s">
        <v>81</v>
      </c>
      <c r="E925" t="s">
        <v>634</v>
      </c>
      <c r="F925" t="s">
        <v>635</v>
      </c>
      <c r="G925" s="1" t="s">
        <v>84</v>
      </c>
      <c r="I925" s="1" t="s">
        <v>85</v>
      </c>
      <c r="J925" s="1" t="s">
        <v>636</v>
      </c>
      <c r="K925" s="1" t="s">
        <v>87</v>
      </c>
      <c r="L925">
        <v>8708999709</v>
      </c>
      <c r="M925" s="2" t="s">
        <v>88</v>
      </c>
      <c r="N925" s="3" t="s">
        <v>89</v>
      </c>
      <c r="O925" s="1">
        <v>1</v>
      </c>
      <c r="P925" s="4">
        <v>831.11</v>
      </c>
      <c r="Q925" s="4">
        <v>66.62</v>
      </c>
      <c r="R925" s="4">
        <v>1.92</v>
      </c>
      <c r="S925" s="4">
        <v>899.65</v>
      </c>
      <c r="T925" s="5">
        <v>7.824</v>
      </c>
      <c r="U925" s="5">
        <v>7.824</v>
      </c>
      <c r="V925" s="5">
        <v>11.27</v>
      </c>
      <c r="W925" s="5">
        <v>11.27</v>
      </c>
      <c r="X925" s="4">
        <v>899.65</v>
      </c>
    </row>
    <row r="926" customHeight="1" spans="2:28">
      <c r="B926" s="6" t="str">
        <f t="shared" si="14"/>
        <v>43115-DT1EJ20250101-A-JIEU8018290-PARTS</v>
      </c>
      <c r="C926" t="s">
        <v>80</v>
      </c>
      <c r="D926" t="s">
        <v>81</v>
      </c>
      <c r="E926" t="s">
        <v>634</v>
      </c>
      <c r="F926" t="s">
        <v>635</v>
      </c>
      <c r="G926" s="1" t="s">
        <v>84</v>
      </c>
      <c r="I926" s="1" t="s">
        <v>85</v>
      </c>
      <c r="J926" s="1" t="s">
        <v>636</v>
      </c>
      <c r="K926" s="1" t="s">
        <v>90</v>
      </c>
      <c r="L926">
        <v>8708299009</v>
      </c>
      <c r="M926" s="2" t="s">
        <v>91</v>
      </c>
      <c r="N926" s="3" t="s">
        <v>92</v>
      </c>
      <c r="O926" s="1">
        <v>1</v>
      </c>
      <c r="P926" s="4">
        <v>20</v>
      </c>
      <c r="Q926" s="4">
        <v>1.6</v>
      </c>
      <c r="R926" s="4">
        <v>0.05</v>
      </c>
      <c r="S926" s="4">
        <v>21.65</v>
      </c>
      <c r="T926" s="5">
        <v>0.633</v>
      </c>
      <c r="U926" s="5">
        <v>0.633</v>
      </c>
      <c r="V926" s="5">
        <v>0.91</v>
      </c>
      <c r="W926" s="5">
        <v>0.91</v>
      </c>
      <c r="X926" s="4">
        <v>21.65</v>
      </c>
    </row>
    <row r="927" customHeight="1" spans="2:28">
      <c r="B927" s="6" t="str">
        <f t="shared" si="14"/>
        <v>43115-DT1EJ20250101-A-JIEU8018290-PARTS</v>
      </c>
      <c r="C927" s="29" t="s">
        <v>80</v>
      </c>
      <c r="D927" s="30" t="s">
        <v>81</v>
      </c>
      <c r="E927" s="30" t="s">
        <v>634</v>
      </c>
      <c r="F927" s="30" t="s">
        <v>635</v>
      </c>
      <c r="G927" s="31" t="s">
        <v>84</v>
      </c>
      <c r="H927" s="31"/>
      <c r="I927" s="31" t="s">
        <v>85</v>
      </c>
      <c r="J927" s="31" t="s">
        <v>636</v>
      </c>
      <c r="K927" s="31" t="s">
        <v>93</v>
      </c>
      <c r="L927" s="31">
        <v>8708299009</v>
      </c>
      <c r="M927" s="32" t="s">
        <v>94</v>
      </c>
      <c r="N927" s="33" t="s">
        <v>95</v>
      </c>
      <c r="O927" s="31">
        <v>1</v>
      </c>
      <c r="P927" s="34">
        <v>19.64</v>
      </c>
      <c r="Q927" s="34">
        <v>1.57</v>
      </c>
      <c r="R927" s="34">
        <v>0.05</v>
      </c>
      <c r="S927" s="34">
        <v>21.26</v>
      </c>
      <c r="T927" s="35">
        <v>0.622</v>
      </c>
      <c r="U927" s="35">
        <v>0.622</v>
      </c>
      <c r="V927" s="35">
        <v>0.9</v>
      </c>
      <c r="W927" s="35">
        <v>0.9</v>
      </c>
      <c r="X927" s="34">
        <v>21.26</v>
      </c>
      <c r="Y927" s="31"/>
      <c r="Z927" s="31"/>
      <c r="AA927" s="31"/>
      <c r="AB927" s="31"/>
    </row>
    <row r="928" customHeight="1" spans="2:28">
      <c r="B928" s="6" t="str">
        <f t="shared" si="14"/>
        <v>43115-DT1EJ20250101-A-JIEU8018290-PARTS</v>
      </c>
      <c r="C928" s="29" t="s">
        <v>80</v>
      </c>
      <c r="D928" s="30" t="s">
        <v>81</v>
      </c>
      <c r="E928" s="30" t="s">
        <v>634</v>
      </c>
      <c r="F928" s="30" t="s">
        <v>635</v>
      </c>
      <c r="G928" s="31" t="s">
        <v>84</v>
      </c>
      <c r="H928" s="31"/>
      <c r="I928" s="31" t="s">
        <v>85</v>
      </c>
      <c r="J928" s="31" t="s">
        <v>636</v>
      </c>
      <c r="K928" s="31" t="s">
        <v>87</v>
      </c>
      <c r="L928" s="31">
        <v>8708999709</v>
      </c>
      <c r="M928" s="32" t="s">
        <v>88</v>
      </c>
      <c r="N928" s="33" t="s">
        <v>89</v>
      </c>
      <c r="O928" s="31">
        <v>1</v>
      </c>
      <c r="P928" s="34">
        <v>831.11</v>
      </c>
      <c r="Q928" s="34">
        <v>66.62</v>
      </c>
      <c r="R928" s="34">
        <v>1.92</v>
      </c>
      <c r="S928" s="34">
        <v>899.65</v>
      </c>
      <c r="T928" s="35">
        <v>7.824</v>
      </c>
      <c r="U928" s="35">
        <v>7.824</v>
      </c>
      <c r="V928" s="35">
        <v>11.27</v>
      </c>
      <c r="W928" s="35">
        <v>11.27</v>
      </c>
      <c r="X928" s="34">
        <v>899.65</v>
      </c>
      <c r="Y928" s="31"/>
      <c r="Z928" s="31"/>
      <c r="AA928" s="31"/>
      <c r="AB928" s="31"/>
    </row>
    <row r="929" customHeight="1" spans="1:28">
      <c r="B929" s="6" t="str">
        <f t="shared" si="14"/>
        <v>43115-DT1EJ20250101-A-JIEU8018290-PARTS</v>
      </c>
      <c r="C929" s="29" t="s">
        <v>80</v>
      </c>
      <c r="D929" s="30" t="s">
        <v>81</v>
      </c>
      <c r="E929" s="30" t="s">
        <v>634</v>
      </c>
      <c r="F929" s="30" t="s">
        <v>635</v>
      </c>
      <c r="G929" s="31" t="s">
        <v>84</v>
      </c>
      <c r="H929" s="31"/>
      <c r="I929" s="31" t="s">
        <v>85</v>
      </c>
      <c r="J929" s="31" t="s">
        <v>636</v>
      </c>
      <c r="K929" s="31" t="s">
        <v>90</v>
      </c>
      <c r="L929" s="31">
        <v>8708299009</v>
      </c>
      <c r="M929" s="32" t="s">
        <v>91</v>
      </c>
      <c r="N929" s="33" t="s">
        <v>92</v>
      </c>
      <c r="O929" s="31">
        <v>1</v>
      </c>
      <c r="P929" s="34">
        <v>20</v>
      </c>
      <c r="Q929" s="34">
        <v>1.6</v>
      </c>
      <c r="R929" s="34">
        <v>0.05</v>
      </c>
      <c r="S929" s="34">
        <v>21.65</v>
      </c>
      <c r="T929" s="35">
        <v>0.633</v>
      </c>
      <c r="U929" s="35">
        <v>0.633</v>
      </c>
      <c r="V929" s="35">
        <v>0.91</v>
      </c>
      <c r="W929" s="35">
        <v>0.91</v>
      </c>
      <c r="X929" s="34">
        <v>21.65</v>
      </c>
      <c r="Y929" s="31"/>
      <c r="Z929" s="31"/>
      <c r="AA929" s="31"/>
      <c r="AB929" s="31"/>
    </row>
    <row r="930" customHeight="1" spans="1:28">
      <c r="B930" s="6" t="str">
        <f t="shared" si="14"/>
        <v>43115-DT1EJ20250101-A-JIEU8018290-PARTS</v>
      </c>
      <c r="C930" s="29" t="s">
        <v>80</v>
      </c>
      <c r="D930" s="30" t="s">
        <v>81</v>
      </c>
      <c r="E930" s="30" t="s">
        <v>634</v>
      </c>
      <c r="F930" s="30" t="s">
        <v>635</v>
      </c>
      <c r="G930" s="31" t="s">
        <v>84</v>
      </c>
      <c r="H930" s="31"/>
      <c r="I930" s="31" t="s">
        <v>85</v>
      </c>
      <c r="J930" s="31" t="s">
        <v>636</v>
      </c>
      <c r="K930" s="31" t="s">
        <v>93</v>
      </c>
      <c r="L930" s="31">
        <v>8708299009</v>
      </c>
      <c r="M930" s="32" t="s">
        <v>94</v>
      </c>
      <c r="N930" s="33" t="s">
        <v>95</v>
      </c>
      <c r="O930" s="31">
        <v>1</v>
      </c>
      <c r="P930" s="34">
        <v>19.64</v>
      </c>
      <c r="Q930" s="34">
        <v>1.57</v>
      </c>
      <c r="R930" s="34">
        <v>0.05</v>
      </c>
      <c r="S930" s="34">
        <v>21.26</v>
      </c>
      <c r="T930" s="35">
        <v>0.622</v>
      </c>
      <c r="U930" s="35">
        <v>0.622</v>
      </c>
      <c r="V930" s="35">
        <v>0.9</v>
      </c>
      <c r="W930" s="35">
        <v>0.9</v>
      </c>
      <c r="X930" s="34">
        <v>21.26</v>
      </c>
      <c r="Y930" s="31"/>
      <c r="Z930" s="31"/>
      <c r="AA930" s="31"/>
      <c r="AB930" s="31"/>
    </row>
    <row r="931" customHeight="1" spans="1:28">
      <c r="B931" s="6" t="str">
        <f t="shared" si="14"/>
        <v>43115-DT1EJ20250101-A-JIEU8018290-PARTS</v>
      </c>
      <c r="C931" s="29" t="s">
        <v>80</v>
      </c>
      <c r="D931" s="30" t="s">
        <v>81</v>
      </c>
      <c r="E931" s="30" t="s">
        <v>634</v>
      </c>
      <c r="F931" s="30" t="s">
        <v>635</v>
      </c>
      <c r="G931" s="31" t="s">
        <v>84</v>
      </c>
      <c r="H931" s="31"/>
      <c r="I931" s="31" t="s">
        <v>85</v>
      </c>
      <c r="J931" s="31" t="s">
        <v>637</v>
      </c>
      <c r="K931" s="31" t="s">
        <v>425</v>
      </c>
      <c r="L931" s="31">
        <v>8708809909</v>
      </c>
      <c r="M931" s="32" t="s">
        <v>426</v>
      </c>
      <c r="N931" s="33" t="s">
        <v>427</v>
      </c>
      <c r="O931" s="31">
        <v>20</v>
      </c>
      <c r="P931" s="34">
        <v>812.11</v>
      </c>
      <c r="Q931" s="34">
        <v>1301.8</v>
      </c>
      <c r="R931" s="34">
        <v>37.4</v>
      </c>
      <c r="S931" s="34">
        <v>879.07</v>
      </c>
      <c r="T931" s="35">
        <v>39.4</v>
      </c>
      <c r="U931" s="35">
        <v>788</v>
      </c>
      <c r="V931" s="35">
        <v>40.4</v>
      </c>
      <c r="W931" s="35">
        <v>808</v>
      </c>
      <c r="X931" s="34">
        <v>17581.4</v>
      </c>
      <c r="Y931" s="31">
        <v>2280</v>
      </c>
      <c r="Z931" s="31">
        <v>1180</v>
      </c>
      <c r="AA931" s="31">
        <v>825</v>
      </c>
      <c r="AB931" s="31">
        <v>2.22</v>
      </c>
    </row>
    <row r="932" customHeight="1" spans="1:28">
      <c r="A932" s="6" t="s">
        <v>638</v>
      </c>
      <c r="B932" s="6" t="str">
        <f t="shared" si="14"/>
        <v>43115-DT1EJ20250101-A-JIEU8018290-PARTS</v>
      </c>
      <c r="C932" s="29" t="s">
        <v>80</v>
      </c>
      <c r="D932" s="30" t="s">
        <v>81</v>
      </c>
      <c r="E932" s="30" t="s">
        <v>634</v>
      </c>
      <c r="F932" s="30" t="s">
        <v>635</v>
      </c>
      <c r="G932" s="31" t="s">
        <v>84</v>
      </c>
      <c r="H932" s="31"/>
      <c r="I932" s="31" t="s">
        <v>85</v>
      </c>
      <c r="J932" s="31" t="s">
        <v>639</v>
      </c>
      <c r="K932" s="31" t="s">
        <v>425</v>
      </c>
      <c r="L932" s="31">
        <v>8708809909</v>
      </c>
      <c r="M932" s="32" t="s">
        <v>426</v>
      </c>
      <c r="N932" s="33" t="s">
        <v>427</v>
      </c>
      <c r="O932" s="31">
        <v>20</v>
      </c>
      <c r="P932" s="34">
        <v>812.11</v>
      </c>
      <c r="Q932" s="34">
        <v>1301.8</v>
      </c>
      <c r="R932" s="34">
        <v>37.4</v>
      </c>
      <c r="S932" s="34">
        <v>879.07</v>
      </c>
      <c r="T932" s="35">
        <v>39.4</v>
      </c>
      <c r="U932" s="35">
        <v>788</v>
      </c>
      <c r="V932" s="35">
        <v>40.4</v>
      </c>
      <c r="W932" s="35">
        <v>808</v>
      </c>
      <c r="X932" s="34">
        <v>17581.4</v>
      </c>
      <c r="Y932" s="31">
        <v>2280</v>
      </c>
      <c r="Z932" s="31">
        <v>1180</v>
      </c>
      <c r="AA932" s="31">
        <v>825</v>
      </c>
      <c r="AB932" s="31">
        <v>2.22</v>
      </c>
    </row>
    <row r="933" customHeight="1" spans="1:28">
      <c r="B933" s="6" t="str">
        <f t="shared" si="14"/>
        <v>43115-DT1EJ20250101-A-JIEU8018290-PARTS</v>
      </c>
      <c r="C933" s="29" t="s">
        <v>80</v>
      </c>
      <c r="D933" s="30" t="s">
        <v>81</v>
      </c>
      <c r="E933" s="30" t="s">
        <v>634</v>
      </c>
      <c r="F933" s="30" t="s">
        <v>635</v>
      </c>
      <c r="G933" s="31" t="s">
        <v>84</v>
      </c>
      <c r="H933" s="31"/>
      <c r="I933" s="31" t="s">
        <v>85</v>
      </c>
      <c r="J933" s="31" t="s">
        <v>640</v>
      </c>
      <c r="K933" s="31" t="s">
        <v>425</v>
      </c>
      <c r="L933" s="31">
        <v>8708809909</v>
      </c>
      <c r="M933" s="32" t="s">
        <v>426</v>
      </c>
      <c r="N933" s="33" t="s">
        <v>427</v>
      </c>
      <c r="O933" s="31">
        <v>20</v>
      </c>
      <c r="P933" s="34">
        <v>812.11</v>
      </c>
      <c r="Q933" s="34">
        <v>1301.8</v>
      </c>
      <c r="R933" s="34">
        <v>37.4</v>
      </c>
      <c r="S933" s="34">
        <v>879.07</v>
      </c>
      <c r="T933" s="35">
        <v>39.4</v>
      </c>
      <c r="U933" s="35">
        <v>788</v>
      </c>
      <c r="V933" s="35">
        <v>40.4</v>
      </c>
      <c r="W933" s="35">
        <v>808</v>
      </c>
      <c r="X933" s="34">
        <v>17581.4</v>
      </c>
      <c r="Y933" s="31">
        <v>2280</v>
      </c>
      <c r="Z933" s="31">
        <v>1180</v>
      </c>
      <c r="AA933" s="31">
        <v>825</v>
      </c>
      <c r="AB933" s="31">
        <v>2.22</v>
      </c>
    </row>
    <row r="934" customHeight="1" spans="1:28">
      <c r="B934" s="6" t="str">
        <f t="shared" si="14"/>
        <v>43115-DT1EJ20250101-A-JIEU8018290-PARTS</v>
      </c>
      <c r="C934" s="29" t="s">
        <v>80</v>
      </c>
      <c r="D934" s="30" t="s">
        <v>81</v>
      </c>
      <c r="E934" s="30" t="s">
        <v>634</v>
      </c>
      <c r="F934" s="30" t="s">
        <v>635</v>
      </c>
      <c r="G934" s="31" t="s">
        <v>84</v>
      </c>
      <c r="H934" s="31"/>
      <c r="I934" s="31" t="s">
        <v>85</v>
      </c>
      <c r="J934" s="31" t="s">
        <v>641</v>
      </c>
      <c r="K934" s="31" t="s">
        <v>642</v>
      </c>
      <c r="L934" s="31">
        <v>8708809909</v>
      </c>
      <c r="M934" s="32" t="s">
        <v>643</v>
      </c>
      <c r="N934" s="33" t="s">
        <v>644</v>
      </c>
      <c r="O934" s="31">
        <v>12</v>
      </c>
      <c r="P934" s="34">
        <v>1145.22</v>
      </c>
      <c r="Q934" s="34">
        <v>1101.48</v>
      </c>
      <c r="R934" s="34">
        <v>31.68</v>
      </c>
      <c r="S934" s="34">
        <v>1239.65</v>
      </c>
      <c r="T934" s="35">
        <v>38.83</v>
      </c>
      <c r="U934" s="35">
        <v>465.96</v>
      </c>
      <c r="V934" s="35">
        <v>47.83</v>
      </c>
      <c r="W934" s="35">
        <v>573.96</v>
      </c>
      <c r="X934" s="34">
        <v>14875.8</v>
      </c>
      <c r="Y934" s="31">
        <v>2280</v>
      </c>
      <c r="Z934" s="31">
        <v>1600</v>
      </c>
      <c r="AA934" s="31">
        <v>1250</v>
      </c>
      <c r="AB934" s="31">
        <v>4.56</v>
      </c>
    </row>
    <row r="935" customHeight="1" spans="1:28">
      <c r="B935" s="6" t="str">
        <f t="shared" si="14"/>
        <v>43115-DT1EJ20250101-A-JIEU8018290-PARTS</v>
      </c>
      <c r="C935" s="29" t="s">
        <v>80</v>
      </c>
      <c r="D935" s="30" t="s">
        <v>81</v>
      </c>
      <c r="E935" s="30" t="s">
        <v>634</v>
      </c>
      <c r="F935" s="30" t="s">
        <v>635</v>
      </c>
      <c r="G935" s="31" t="s">
        <v>84</v>
      </c>
      <c r="H935" s="31"/>
      <c r="I935" s="31" t="s">
        <v>85</v>
      </c>
      <c r="J935" s="31" t="s">
        <v>645</v>
      </c>
      <c r="K935" s="31" t="s">
        <v>642</v>
      </c>
      <c r="L935" s="31">
        <v>8708809909</v>
      </c>
      <c r="M935" s="32" t="s">
        <v>643</v>
      </c>
      <c r="N935" s="33" t="s">
        <v>644</v>
      </c>
      <c r="O935" s="31">
        <v>12</v>
      </c>
      <c r="P935" s="34">
        <v>1145.22</v>
      </c>
      <c r="Q935" s="34">
        <v>1101.48</v>
      </c>
      <c r="R935" s="34">
        <v>31.68</v>
      </c>
      <c r="S935" s="34">
        <v>1239.65</v>
      </c>
      <c r="T935" s="35">
        <v>38.83</v>
      </c>
      <c r="U935" s="35">
        <v>465.96</v>
      </c>
      <c r="V935" s="35">
        <v>47.83</v>
      </c>
      <c r="W935" s="35">
        <v>573.96</v>
      </c>
      <c r="X935" s="34">
        <v>14875.8</v>
      </c>
      <c r="Y935" s="31">
        <v>2280</v>
      </c>
      <c r="Z935" s="31">
        <v>1600</v>
      </c>
      <c r="AA935" s="31">
        <v>1250</v>
      </c>
      <c r="AB935" s="31">
        <v>4.56</v>
      </c>
    </row>
    <row r="936" customHeight="1" spans="1:28">
      <c r="B936" s="6" t="str">
        <f t="shared" si="14"/>
        <v>43115-DT1EJ20250101-A-JIEU8018290-PARTS</v>
      </c>
      <c r="C936" s="29" t="s">
        <v>80</v>
      </c>
      <c r="D936" s="30" t="s">
        <v>81</v>
      </c>
      <c r="E936" s="30" t="s">
        <v>634</v>
      </c>
      <c r="F936" s="30" t="s">
        <v>635</v>
      </c>
      <c r="G936" s="31" t="s">
        <v>84</v>
      </c>
      <c r="H936" s="31"/>
      <c r="I936" s="31" t="s">
        <v>85</v>
      </c>
      <c r="J936" s="31" t="s">
        <v>646</v>
      </c>
      <c r="K936" s="31" t="s">
        <v>642</v>
      </c>
      <c r="L936" s="31">
        <v>8708809909</v>
      </c>
      <c r="M936" s="32" t="s">
        <v>643</v>
      </c>
      <c r="N936" s="33" t="s">
        <v>644</v>
      </c>
      <c r="O936" s="31">
        <v>12</v>
      </c>
      <c r="P936" s="34">
        <v>1145.22</v>
      </c>
      <c r="Q936" s="34">
        <v>1101.48</v>
      </c>
      <c r="R936" s="34">
        <v>31.68</v>
      </c>
      <c r="S936" s="34">
        <v>1239.65</v>
      </c>
      <c r="T936" s="35">
        <v>38.83</v>
      </c>
      <c r="U936" s="35">
        <v>465.96</v>
      </c>
      <c r="V936" s="35">
        <v>47.83</v>
      </c>
      <c r="W936" s="35">
        <v>573.96</v>
      </c>
      <c r="X936" s="34">
        <v>14875.8</v>
      </c>
      <c r="Y936" s="31">
        <v>2280</v>
      </c>
      <c r="Z936" s="31">
        <v>1600</v>
      </c>
      <c r="AA936" s="31">
        <v>1250</v>
      </c>
      <c r="AB936" s="31">
        <v>4.56</v>
      </c>
    </row>
    <row r="937" customHeight="1" spans="1:28">
      <c r="B937" s="6" t="str">
        <f t="shared" si="14"/>
        <v>43115-DT1EJ20250101-A-JIEU8018290-PARTS</v>
      </c>
      <c r="C937" s="29" t="s">
        <v>80</v>
      </c>
      <c r="D937" s="30" t="s">
        <v>81</v>
      </c>
      <c r="E937" s="30" t="s">
        <v>634</v>
      </c>
      <c r="F937" s="30" t="s">
        <v>635</v>
      </c>
      <c r="G937" s="31" t="s">
        <v>84</v>
      </c>
      <c r="H937" s="31"/>
      <c r="I937" s="31" t="s">
        <v>85</v>
      </c>
      <c r="J937" s="31" t="s">
        <v>647</v>
      </c>
      <c r="K937" s="31" t="s">
        <v>642</v>
      </c>
      <c r="L937" s="31">
        <v>8708809909</v>
      </c>
      <c r="M937" s="32" t="s">
        <v>643</v>
      </c>
      <c r="N937" s="33" t="s">
        <v>644</v>
      </c>
      <c r="O937" s="31">
        <v>12</v>
      </c>
      <c r="P937" s="34">
        <v>1145.22</v>
      </c>
      <c r="Q937" s="34">
        <v>1101.48</v>
      </c>
      <c r="R937" s="34">
        <v>31.68</v>
      </c>
      <c r="S937" s="34">
        <v>1239.65</v>
      </c>
      <c r="T937" s="35">
        <v>38.83</v>
      </c>
      <c r="U937" s="35">
        <v>465.96</v>
      </c>
      <c r="V937" s="35">
        <v>47.83</v>
      </c>
      <c r="W937" s="35">
        <v>573.96</v>
      </c>
      <c r="X937" s="34">
        <v>14875.8</v>
      </c>
      <c r="Y937" s="31">
        <v>2280</v>
      </c>
      <c r="Z937" s="31">
        <v>1600</v>
      </c>
      <c r="AA937" s="31">
        <v>1250</v>
      </c>
      <c r="AB937" s="31">
        <v>4.56</v>
      </c>
    </row>
    <row r="938" customHeight="1" spans="1:28">
      <c r="B938" s="6" t="str">
        <f t="shared" si="14"/>
        <v>43115-DT1EJ20250101-A-JIEU8018290-PARTS</v>
      </c>
      <c r="C938" s="29" t="s">
        <v>80</v>
      </c>
      <c r="D938" s="30" t="s">
        <v>81</v>
      </c>
      <c r="E938" s="30" t="s">
        <v>634</v>
      </c>
      <c r="F938" s="30" t="s">
        <v>635</v>
      </c>
      <c r="G938" s="31" t="s">
        <v>84</v>
      </c>
      <c r="H938" s="31"/>
      <c r="I938" s="31" t="s">
        <v>85</v>
      </c>
      <c r="J938" s="31" t="s">
        <v>648</v>
      </c>
      <c r="K938" s="31" t="s">
        <v>642</v>
      </c>
      <c r="L938" s="31">
        <v>8708809909</v>
      </c>
      <c r="M938" s="32" t="s">
        <v>643</v>
      </c>
      <c r="N938" s="33" t="s">
        <v>644</v>
      </c>
      <c r="O938" s="31">
        <v>12</v>
      </c>
      <c r="P938" s="34">
        <v>1145.22</v>
      </c>
      <c r="Q938" s="34">
        <v>1101.48</v>
      </c>
      <c r="R938" s="34">
        <v>31.68</v>
      </c>
      <c r="S938" s="34">
        <v>1239.65</v>
      </c>
      <c r="T938" s="35">
        <v>38.83</v>
      </c>
      <c r="U938" s="35">
        <v>465.96</v>
      </c>
      <c r="V938" s="35">
        <v>47.83</v>
      </c>
      <c r="W938" s="35">
        <v>573.96</v>
      </c>
      <c r="X938" s="34">
        <v>14875.8</v>
      </c>
      <c r="Y938" s="31">
        <v>2280</v>
      </c>
      <c r="Z938" s="31">
        <v>1600</v>
      </c>
      <c r="AA938" s="31">
        <v>1250</v>
      </c>
      <c r="AB938" s="31">
        <v>4.56</v>
      </c>
    </row>
    <row r="939" customHeight="1" spans="1:28">
      <c r="B939" s="6" t="str">
        <f t="shared" si="14"/>
        <v>43115-DT1EJ20250101-A-JIEU8018290-PARTS</v>
      </c>
      <c r="C939" s="29" t="s">
        <v>80</v>
      </c>
      <c r="D939" s="30" t="s">
        <v>81</v>
      </c>
      <c r="E939" s="30" t="s">
        <v>634</v>
      </c>
      <c r="F939" s="30" t="s">
        <v>635</v>
      </c>
      <c r="G939" s="31" t="s">
        <v>84</v>
      </c>
      <c r="H939" s="31"/>
      <c r="I939" s="31" t="s">
        <v>85</v>
      </c>
      <c r="J939" s="31" t="s">
        <v>649</v>
      </c>
      <c r="K939" s="31" t="s">
        <v>642</v>
      </c>
      <c r="L939" s="31">
        <v>8708809909</v>
      </c>
      <c r="M939" s="32" t="s">
        <v>643</v>
      </c>
      <c r="N939" s="33" t="s">
        <v>644</v>
      </c>
      <c r="O939" s="31">
        <v>12</v>
      </c>
      <c r="P939" s="34">
        <v>1145.22</v>
      </c>
      <c r="Q939" s="34">
        <v>1101.48</v>
      </c>
      <c r="R939" s="34">
        <v>31.68</v>
      </c>
      <c r="S939" s="34">
        <v>1239.65</v>
      </c>
      <c r="T939" s="35">
        <v>38.83</v>
      </c>
      <c r="U939" s="35">
        <v>465.96</v>
      </c>
      <c r="V939" s="35">
        <v>47.83</v>
      </c>
      <c r="W939" s="35">
        <v>573.96</v>
      </c>
      <c r="X939" s="34">
        <v>14875.8</v>
      </c>
      <c r="Y939" s="31">
        <v>2280</v>
      </c>
      <c r="Z939" s="31">
        <v>1600</v>
      </c>
      <c r="AA939" s="31">
        <v>1250</v>
      </c>
      <c r="AB939" s="31">
        <v>4.56</v>
      </c>
    </row>
    <row r="940" customHeight="1" spans="1:28">
      <c r="B940" s="6" t="str">
        <f t="shared" si="14"/>
        <v>43115-DT1EJ20250101-A-JIEU8018290-PARTS</v>
      </c>
      <c r="C940" t="s">
        <v>80</v>
      </c>
      <c r="D940" t="s">
        <v>81</v>
      </c>
      <c r="E940" t="s">
        <v>634</v>
      </c>
      <c r="F940" t="s">
        <v>635</v>
      </c>
      <c r="G940" s="1" t="s">
        <v>84</v>
      </c>
      <c r="I940" s="1" t="s">
        <v>85</v>
      </c>
      <c r="J940" s="1" t="s">
        <v>650</v>
      </c>
      <c r="K940" s="1" t="s">
        <v>642</v>
      </c>
      <c r="L940">
        <v>8708809909</v>
      </c>
      <c r="M940" s="2" t="s">
        <v>643</v>
      </c>
      <c r="N940" s="3" t="s">
        <v>644</v>
      </c>
      <c r="O940" s="1">
        <v>12</v>
      </c>
      <c r="P940" s="4">
        <v>1145.22</v>
      </c>
      <c r="Q940" s="4">
        <v>1101.48</v>
      </c>
      <c r="R940" s="4">
        <v>31.68</v>
      </c>
      <c r="S940" s="4">
        <v>1239.65</v>
      </c>
      <c r="T940" s="5">
        <v>38.83</v>
      </c>
      <c r="U940" s="5">
        <v>465.96</v>
      </c>
      <c r="V940" s="5">
        <v>47.83</v>
      </c>
      <c r="W940" s="5">
        <v>573.96</v>
      </c>
      <c r="X940" s="4">
        <v>14875.8</v>
      </c>
      <c r="Y940">
        <v>2280</v>
      </c>
      <c r="Z940">
        <v>1600</v>
      </c>
      <c r="AA940">
        <v>1250</v>
      </c>
      <c r="AB940" s="1">
        <v>4.56</v>
      </c>
    </row>
    <row r="941" customHeight="1" spans="1:28">
      <c r="B941" s="6" t="str">
        <f t="shared" si="14"/>
        <v>43115-DT1EJ20250101-A-JIEU8018290-PARTS</v>
      </c>
      <c r="C941" s="29" t="s">
        <v>80</v>
      </c>
      <c r="D941" s="30" t="s">
        <v>81</v>
      </c>
      <c r="E941" s="30" t="s">
        <v>634</v>
      </c>
      <c r="F941" s="30" t="s">
        <v>635</v>
      </c>
      <c r="G941" s="31" t="s">
        <v>84</v>
      </c>
      <c r="H941" s="31"/>
      <c r="I941" s="31" t="s">
        <v>85</v>
      </c>
      <c r="J941" s="31" t="s">
        <v>651</v>
      </c>
      <c r="K941" s="31" t="s">
        <v>642</v>
      </c>
      <c r="L941" s="31">
        <v>8708809909</v>
      </c>
      <c r="M941" s="32" t="s">
        <v>643</v>
      </c>
      <c r="N941" s="33" t="s">
        <v>644</v>
      </c>
      <c r="O941" s="31">
        <v>12</v>
      </c>
      <c r="P941" s="34">
        <v>1145.22</v>
      </c>
      <c r="Q941" s="34">
        <v>1101.48</v>
      </c>
      <c r="R941" s="34">
        <v>31.68</v>
      </c>
      <c r="S941" s="34">
        <v>1239.65</v>
      </c>
      <c r="T941" s="35">
        <v>38.83</v>
      </c>
      <c r="U941" s="35">
        <v>465.96</v>
      </c>
      <c r="V941" s="35">
        <v>47.83</v>
      </c>
      <c r="W941" s="35">
        <v>573.96</v>
      </c>
      <c r="X941" s="34">
        <v>14875.8</v>
      </c>
      <c r="Y941" s="31">
        <v>2280</v>
      </c>
      <c r="Z941" s="31">
        <v>1600</v>
      </c>
      <c r="AA941" s="31">
        <v>1250</v>
      </c>
      <c r="AB941" s="31">
        <v>4.56</v>
      </c>
    </row>
    <row r="942" customHeight="1" spans="1:28">
      <c r="B942" s="6" t="str">
        <f t="shared" si="14"/>
        <v>43115-DT1EJ20250101-A-JIEU8018290-PARTS</v>
      </c>
      <c r="C942" s="29" t="s">
        <v>80</v>
      </c>
      <c r="D942" s="30" t="s">
        <v>81</v>
      </c>
      <c r="E942" s="30" t="s">
        <v>634</v>
      </c>
      <c r="F942" s="30" t="s">
        <v>635</v>
      </c>
      <c r="G942" s="31" t="s">
        <v>84</v>
      </c>
      <c r="H942" s="31"/>
      <c r="I942" s="31" t="s">
        <v>85</v>
      </c>
      <c r="J942" s="31" t="s">
        <v>652</v>
      </c>
      <c r="K942" s="31" t="s">
        <v>642</v>
      </c>
      <c r="L942" s="31">
        <v>8708809909</v>
      </c>
      <c r="M942" s="32" t="s">
        <v>643</v>
      </c>
      <c r="N942" s="33" t="s">
        <v>644</v>
      </c>
      <c r="O942" s="31">
        <v>12</v>
      </c>
      <c r="P942" s="34">
        <v>1145.22</v>
      </c>
      <c r="Q942" s="34">
        <v>1101.48</v>
      </c>
      <c r="R942" s="34">
        <v>31.68</v>
      </c>
      <c r="S942" s="34">
        <v>1239.65</v>
      </c>
      <c r="T942" s="35">
        <v>38.83</v>
      </c>
      <c r="U942" s="35">
        <v>465.96</v>
      </c>
      <c r="V942" s="35">
        <v>47.83</v>
      </c>
      <c r="W942" s="35">
        <v>573.96</v>
      </c>
      <c r="X942" s="34">
        <v>14875.8</v>
      </c>
      <c r="Y942" s="31">
        <v>2280</v>
      </c>
      <c r="Z942" s="31">
        <v>1600</v>
      </c>
      <c r="AA942" s="31">
        <v>1250</v>
      </c>
      <c r="AB942" s="31">
        <v>4.56</v>
      </c>
    </row>
    <row r="943" customHeight="1" spans="1:28">
      <c r="B943" s="6" t="str">
        <f t="shared" si="14"/>
        <v>43115-DT1EJ20250101-A-JIEU8018290-PARTS</v>
      </c>
      <c r="C943" s="29" t="s">
        <v>80</v>
      </c>
      <c r="D943" s="30" t="s">
        <v>81</v>
      </c>
      <c r="E943" s="30" t="s">
        <v>634</v>
      </c>
      <c r="F943" s="30" t="s">
        <v>635</v>
      </c>
      <c r="G943" s="31" t="s">
        <v>84</v>
      </c>
      <c r="H943" s="31"/>
      <c r="I943" s="31" t="s">
        <v>85</v>
      </c>
      <c r="J943" s="31" t="s">
        <v>653</v>
      </c>
      <c r="K943" s="31" t="s">
        <v>642</v>
      </c>
      <c r="L943" s="31">
        <v>8708809909</v>
      </c>
      <c r="M943" s="32" t="s">
        <v>643</v>
      </c>
      <c r="N943" s="33" t="s">
        <v>644</v>
      </c>
      <c r="O943" s="31">
        <v>12</v>
      </c>
      <c r="P943" s="34">
        <v>1145.22</v>
      </c>
      <c r="Q943" s="34">
        <v>1101.48</v>
      </c>
      <c r="R943" s="34">
        <v>31.68</v>
      </c>
      <c r="S943" s="34">
        <v>1239.65</v>
      </c>
      <c r="T943" s="35">
        <v>38.83</v>
      </c>
      <c r="U943" s="35">
        <v>465.96</v>
      </c>
      <c r="V943" s="35">
        <v>47.83</v>
      </c>
      <c r="W943" s="35">
        <v>573.96</v>
      </c>
      <c r="X943" s="34">
        <v>14875.8</v>
      </c>
      <c r="Y943" s="31">
        <v>2280</v>
      </c>
      <c r="Z943" s="31">
        <v>1600</v>
      </c>
      <c r="AA943" s="31">
        <v>1250</v>
      </c>
      <c r="AB943" s="31">
        <v>4.56</v>
      </c>
    </row>
    <row r="944" customHeight="1" spans="1:28">
      <c r="B944" s="6" t="str">
        <f t="shared" si="14"/>
        <v>43115-DT1EJ20250101-A-JIEU8018290-PARTS</v>
      </c>
      <c r="C944" s="29" t="s">
        <v>80</v>
      </c>
      <c r="D944" s="30" t="s">
        <v>81</v>
      </c>
      <c r="E944" s="30" t="s">
        <v>634</v>
      </c>
      <c r="F944" s="30" t="s">
        <v>635</v>
      </c>
      <c r="G944" s="31" t="s">
        <v>84</v>
      </c>
      <c r="H944" s="31"/>
      <c r="I944" s="31" t="s">
        <v>85</v>
      </c>
      <c r="J944" s="31" t="s">
        <v>654</v>
      </c>
      <c r="K944" s="31" t="s">
        <v>431</v>
      </c>
      <c r="L944" s="31">
        <v>8407349908</v>
      </c>
      <c r="M944" s="32" t="s">
        <v>432</v>
      </c>
      <c r="N944" s="33" t="s">
        <v>433</v>
      </c>
      <c r="O944" s="31">
        <v>3</v>
      </c>
      <c r="P944" s="34">
        <v>12116.7</v>
      </c>
      <c r="Q944" s="34">
        <v>2913.63</v>
      </c>
      <c r="R944" s="34">
        <v>80.85</v>
      </c>
      <c r="S944" s="34">
        <v>13114.86</v>
      </c>
      <c r="T944" s="35">
        <v>128</v>
      </c>
      <c r="U944" s="35">
        <v>384</v>
      </c>
      <c r="V944" s="35">
        <v>138.33</v>
      </c>
      <c r="W944" s="35">
        <v>414.99</v>
      </c>
      <c r="X944" s="34">
        <v>39344.58</v>
      </c>
      <c r="Y944" s="31">
        <v>2280</v>
      </c>
      <c r="Z944" s="31">
        <v>685</v>
      </c>
      <c r="AA944" s="31">
        <v>825</v>
      </c>
      <c r="AB944" s="31">
        <v>1.29</v>
      </c>
    </row>
    <row r="945" customHeight="1" spans="2:28">
      <c r="B945" s="6" t="str">
        <f t="shared" si="14"/>
        <v>43115-DT1EJ20250101-A-JIEU8018290-PARTS</v>
      </c>
      <c r="C945" s="29" t="s">
        <v>80</v>
      </c>
      <c r="D945" s="30" t="s">
        <v>81</v>
      </c>
      <c r="E945" s="30" t="s">
        <v>634</v>
      </c>
      <c r="F945" s="30" t="s">
        <v>635</v>
      </c>
      <c r="G945" s="31" t="s">
        <v>84</v>
      </c>
      <c r="H945" s="31"/>
      <c r="I945" s="31" t="s">
        <v>85</v>
      </c>
      <c r="J945" s="31" t="s">
        <v>655</v>
      </c>
      <c r="K945" s="31" t="s">
        <v>431</v>
      </c>
      <c r="L945" s="31">
        <v>8407349908</v>
      </c>
      <c r="M945" s="32" t="s">
        <v>432</v>
      </c>
      <c r="N945" s="33" t="s">
        <v>433</v>
      </c>
      <c r="O945" s="31">
        <v>3</v>
      </c>
      <c r="P945" s="34">
        <v>12116.7</v>
      </c>
      <c r="Q945" s="34">
        <v>2913.63</v>
      </c>
      <c r="R945" s="34">
        <v>80.85</v>
      </c>
      <c r="S945" s="34">
        <v>13114.86</v>
      </c>
      <c r="T945" s="35">
        <v>128</v>
      </c>
      <c r="U945" s="35">
        <v>384</v>
      </c>
      <c r="V945" s="35">
        <v>138.33</v>
      </c>
      <c r="W945" s="35">
        <v>414.99</v>
      </c>
      <c r="X945" s="34">
        <v>39344.58</v>
      </c>
      <c r="Y945" s="31">
        <v>2280</v>
      </c>
      <c r="Z945" s="31">
        <v>685</v>
      </c>
      <c r="AA945" s="31">
        <v>825</v>
      </c>
      <c r="AB945" s="31">
        <v>1.29</v>
      </c>
    </row>
    <row r="946" customHeight="1" spans="2:28">
      <c r="B946" s="6" t="str">
        <f t="shared" si="14"/>
        <v>43115-DT1EJ20250101-A-JIEU8018290-PARTS</v>
      </c>
      <c r="C946" s="29" t="s">
        <v>80</v>
      </c>
      <c r="D946" s="30" t="s">
        <v>81</v>
      </c>
      <c r="E946" s="30" t="s">
        <v>634</v>
      </c>
      <c r="F946" s="30" t="s">
        <v>635</v>
      </c>
      <c r="G946" s="31" t="s">
        <v>84</v>
      </c>
      <c r="H946" s="31"/>
      <c r="I946" s="31" t="s">
        <v>85</v>
      </c>
      <c r="J946" s="31" t="s">
        <v>656</v>
      </c>
      <c r="K946" s="31" t="s">
        <v>431</v>
      </c>
      <c r="L946" s="31">
        <v>8407349908</v>
      </c>
      <c r="M946" s="32" t="s">
        <v>432</v>
      </c>
      <c r="N946" s="33" t="s">
        <v>433</v>
      </c>
      <c r="O946" s="31">
        <v>3</v>
      </c>
      <c r="P946" s="34">
        <v>12116.7</v>
      </c>
      <c r="Q946" s="34">
        <v>2913.63</v>
      </c>
      <c r="R946" s="34">
        <v>80.85</v>
      </c>
      <c r="S946" s="34">
        <v>13114.86</v>
      </c>
      <c r="T946" s="35">
        <v>128</v>
      </c>
      <c r="U946" s="35">
        <v>384</v>
      </c>
      <c r="V946" s="35">
        <v>138.33</v>
      </c>
      <c r="W946" s="35">
        <v>414.99</v>
      </c>
      <c r="X946" s="34">
        <v>39344.58</v>
      </c>
      <c r="Y946" s="31">
        <v>2280</v>
      </c>
      <c r="Z946" s="31">
        <v>685</v>
      </c>
      <c r="AA946" s="31">
        <v>825</v>
      </c>
      <c r="AB946" s="31">
        <v>1.29</v>
      </c>
    </row>
    <row r="947" customHeight="1" spans="2:28">
      <c r="B947" s="6" t="str">
        <f t="shared" si="14"/>
        <v>43115-DT1EJ20250101-A-JIEU8018290-PARTS</v>
      </c>
      <c r="C947" s="29" t="s">
        <v>80</v>
      </c>
      <c r="D947" s="30" t="s">
        <v>81</v>
      </c>
      <c r="E947" s="30" t="s">
        <v>634</v>
      </c>
      <c r="F947" s="30" t="s">
        <v>635</v>
      </c>
      <c r="G947" s="31" t="s">
        <v>84</v>
      </c>
      <c r="H947" s="31"/>
      <c r="I947" s="31" t="s">
        <v>85</v>
      </c>
      <c r="J947" s="31" t="s">
        <v>657</v>
      </c>
      <c r="K947" s="31" t="s">
        <v>431</v>
      </c>
      <c r="L947" s="31">
        <v>8407349908</v>
      </c>
      <c r="M947" s="32" t="s">
        <v>432</v>
      </c>
      <c r="N947" s="33" t="s">
        <v>433</v>
      </c>
      <c r="O947" s="31">
        <v>3</v>
      </c>
      <c r="P947" s="34">
        <v>12116.7</v>
      </c>
      <c r="Q947" s="34">
        <v>2913.63</v>
      </c>
      <c r="R947" s="34">
        <v>80.85</v>
      </c>
      <c r="S947" s="34">
        <v>13114.86</v>
      </c>
      <c r="T947" s="35">
        <v>128</v>
      </c>
      <c r="U947" s="35">
        <v>384</v>
      </c>
      <c r="V947" s="35">
        <v>138.33</v>
      </c>
      <c r="W947" s="35">
        <v>414.99</v>
      </c>
      <c r="X947" s="34">
        <v>39344.58</v>
      </c>
      <c r="Y947" s="31">
        <v>2280</v>
      </c>
      <c r="Z947" s="31">
        <v>685</v>
      </c>
      <c r="AA947" s="31">
        <v>825</v>
      </c>
      <c r="AB947" s="31">
        <v>1.29</v>
      </c>
    </row>
    <row r="948" customHeight="1" spans="2:28">
      <c r="B948" s="6" t="str">
        <f t="shared" si="14"/>
        <v>43115-DT1EJ20250101-A-TIIU6128400-PARTS</v>
      </c>
      <c r="C948" t="s">
        <v>80</v>
      </c>
      <c r="D948" t="s">
        <v>81</v>
      </c>
      <c r="E948" t="s">
        <v>658</v>
      </c>
      <c r="F948" t="s">
        <v>659</v>
      </c>
      <c r="G948" s="1" t="s">
        <v>84</v>
      </c>
      <c r="I948" s="1" t="s">
        <v>85</v>
      </c>
      <c r="J948" s="1" t="s">
        <v>660</v>
      </c>
      <c r="K948" s="1" t="s">
        <v>661</v>
      </c>
      <c r="L948">
        <v>8708809909</v>
      </c>
      <c r="M948" s="2" t="s">
        <v>662</v>
      </c>
      <c r="N948" s="3" t="s">
        <v>663</v>
      </c>
      <c r="O948" s="1">
        <v>2</v>
      </c>
      <c r="P948" s="4">
        <v>2524.35</v>
      </c>
      <c r="Q948" s="4">
        <v>404.4</v>
      </c>
      <c r="R948" s="4">
        <v>11.64</v>
      </c>
      <c r="S948" s="4">
        <v>2732.37</v>
      </c>
      <c r="T948" s="5">
        <v>67.85</v>
      </c>
      <c r="U948" s="5">
        <v>135.7</v>
      </c>
      <c r="V948" s="5">
        <v>82.39</v>
      </c>
      <c r="W948" s="5">
        <v>164.78</v>
      </c>
      <c r="X948" s="4">
        <v>5464.74</v>
      </c>
      <c r="Y948">
        <v>2280</v>
      </c>
      <c r="Z948">
        <v>1480</v>
      </c>
      <c r="AA948">
        <v>450</v>
      </c>
      <c r="AB948" s="1">
        <v>1.52</v>
      </c>
    </row>
    <row r="949" customHeight="1" spans="2:28">
      <c r="B949" s="6" t="str">
        <f t="shared" si="14"/>
        <v>43115-DT1EJ20250101-A-TIIU6128400-PARTS</v>
      </c>
      <c r="C949" s="29" t="s">
        <v>80</v>
      </c>
      <c r="D949" s="30" t="s">
        <v>81</v>
      </c>
      <c r="E949" s="30" t="s">
        <v>658</v>
      </c>
      <c r="F949" s="30" t="s">
        <v>659</v>
      </c>
      <c r="G949" s="31" t="s">
        <v>84</v>
      </c>
      <c r="H949" s="31"/>
      <c r="I949" s="31" t="s">
        <v>85</v>
      </c>
      <c r="J949" s="31" t="s">
        <v>660</v>
      </c>
      <c r="K949" s="31" t="s">
        <v>664</v>
      </c>
      <c r="L949" s="31">
        <v>8708923509</v>
      </c>
      <c r="M949" s="32" t="s">
        <v>665</v>
      </c>
      <c r="N949" s="33" t="s">
        <v>666</v>
      </c>
      <c r="O949" s="31">
        <v>2</v>
      </c>
      <c r="P949" s="34">
        <v>767.68</v>
      </c>
      <c r="Q949" s="34">
        <v>123.06</v>
      </c>
      <c r="R949" s="34">
        <v>3.54</v>
      </c>
      <c r="S949" s="34">
        <v>830.98</v>
      </c>
      <c r="T949" s="35">
        <v>16.15</v>
      </c>
      <c r="U949" s="35">
        <v>32.3</v>
      </c>
      <c r="V949" s="35">
        <v>19.61</v>
      </c>
      <c r="W949" s="35">
        <v>39.22</v>
      </c>
      <c r="X949" s="34">
        <v>1661.96</v>
      </c>
      <c r="Y949" s="31"/>
      <c r="Z949" s="31"/>
      <c r="AA949" s="31"/>
      <c r="AB949" s="31"/>
    </row>
    <row r="950" customHeight="1" spans="2:28">
      <c r="B950" s="6" t="str">
        <f t="shared" si="14"/>
        <v>43115-DT1EJ20250101-A-TIIU6128400-PARTS</v>
      </c>
      <c r="C950" s="29" t="s">
        <v>80</v>
      </c>
      <c r="D950" s="30" t="s">
        <v>81</v>
      </c>
      <c r="E950" s="30" t="s">
        <v>658</v>
      </c>
      <c r="F950" s="30" t="s">
        <v>659</v>
      </c>
      <c r="G950" s="31" t="s">
        <v>84</v>
      </c>
      <c r="H950" s="31"/>
      <c r="I950" s="31" t="s">
        <v>85</v>
      </c>
      <c r="J950" s="31" t="s">
        <v>667</v>
      </c>
      <c r="K950" s="31" t="s">
        <v>661</v>
      </c>
      <c r="L950" s="31">
        <v>8708809909</v>
      </c>
      <c r="M950" s="32" t="s">
        <v>662</v>
      </c>
      <c r="N950" s="33" t="s">
        <v>663</v>
      </c>
      <c r="O950" s="31">
        <v>2</v>
      </c>
      <c r="P950" s="34">
        <v>2524.35</v>
      </c>
      <c r="Q950" s="34">
        <v>404.4</v>
      </c>
      <c r="R950" s="34">
        <v>11.64</v>
      </c>
      <c r="S950" s="34">
        <v>2732.37</v>
      </c>
      <c r="T950" s="35">
        <v>67.85</v>
      </c>
      <c r="U950" s="35">
        <v>135.7</v>
      </c>
      <c r="V950" s="35">
        <v>82.39</v>
      </c>
      <c r="W950" s="35">
        <v>164.78</v>
      </c>
      <c r="X950" s="34">
        <v>5464.74</v>
      </c>
      <c r="Y950" s="31">
        <v>2280</v>
      </c>
      <c r="Z950" s="31">
        <v>1480</v>
      </c>
      <c r="AA950" s="31">
        <v>450</v>
      </c>
      <c r="AB950" s="31">
        <v>1.52</v>
      </c>
    </row>
    <row r="951" customHeight="1" spans="2:28">
      <c r="B951" s="6" t="str">
        <f t="shared" si="14"/>
        <v>43115-DT1EJ20250101-A-TIIU6128400-PARTS</v>
      </c>
      <c r="C951" s="29" t="s">
        <v>80</v>
      </c>
      <c r="D951" s="30" t="s">
        <v>81</v>
      </c>
      <c r="E951" s="30" t="s">
        <v>658</v>
      </c>
      <c r="F951" s="30" t="s">
        <v>659</v>
      </c>
      <c r="G951" s="31" t="s">
        <v>84</v>
      </c>
      <c r="H951" s="31"/>
      <c r="I951" s="31" t="s">
        <v>85</v>
      </c>
      <c r="J951" s="31" t="s">
        <v>667</v>
      </c>
      <c r="K951" s="31" t="s">
        <v>664</v>
      </c>
      <c r="L951" s="31">
        <v>8708923509</v>
      </c>
      <c r="M951" s="32" t="s">
        <v>665</v>
      </c>
      <c r="N951" s="33" t="s">
        <v>666</v>
      </c>
      <c r="O951" s="31">
        <v>2</v>
      </c>
      <c r="P951" s="34">
        <v>767.68</v>
      </c>
      <c r="Q951" s="34">
        <v>123.06</v>
      </c>
      <c r="R951" s="34">
        <v>3.54</v>
      </c>
      <c r="S951" s="34">
        <v>830.98</v>
      </c>
      <c r="T951" s="35">
        <v>16.15</v>
      </c>
      <c r="U951" s="35">
        <v>32.3</v>
      </c>
      <c r="V951" s="35">
        <v>19.61</v>
      </c>
      <c r="W951" s="35">
        <v>39.22</v>
      </c>
      <c r="X951" s="34">
        <v>1661.96</v>
      </c>
      <c r="Y951" s="31"/>
      <c r="Z951" s="31"/>
      <c r="AA951" s="31"/>
      <c r="AB951" s="31"/>
    </row>
    <row r="952" customHeight="1" spans="2:28">
      <c r="B952" s="6" t="str">
        <f t="shared" si="14"/>
        <v>43115-DT1EJ20250101-A-TIIU6445894-PARTS</v>
      </c>
      <c r="C952" s="29" t="s">
        <v>80</v>
      </c>
      <c r="D952" s="30" t="s">
        <v>81</v>
      </c>
      <c r="E952" s="30" t="s">
        <v>668</v>
      </c>
      <c r="F952" s="30" t="s">
        <v>669</v>
      </c>
      <c r="G952" s="31" t="s">
        <v>84</v>
      </c>
      <c r="H952" s="31"/>
      <c r="I952" s="31" t="s">
        <v>85</v>
      </c>
      <c r="J952" s="31" t="s">
        <v>670</v>
      </c>
      <c r="K952" s="31" t="s">
        <v>661</v>
      </c>
      <c r="L952" s="31">
        <v>8708809909</v>
      </c>
      <c r="M952" s="32" t="s">
        <v>662</v>
      </c>
      <c r="N952" s="33" t="s">
        <v>663</v>
      </c>
      <c r="O952" s="31">
        <v>2</v>
      </c>
      <c r="P952" s="34">
        <v>2524.35</v>
      </c>
      <c r="Q952" s="34">
        <v>404.4</v>
      </c>
      <c r="R952" s="34">
        <v>11.64</v>
      </c>
      <c r="S952" s="34">
        <v>2732.37</v>
      </c>
      <c r="T952" s="35">
        <v>67.85</v>
      </c>
      <c r="U952" s="35">
        <v>135.7</v>
      </c>
      <c r="V952" s="35">
        <v>82.39</v>
      </c>
      <c r="W952" s="35">
        <v>164.78</v>
      </c>
      <c r="X952" s="34">
        <v>5464.74</v>
      </c>
      <c r="Y952" s="31">
        <v>2280</v>
      </c>
      <c r="Z952" s="31">
        <v>1480</v>
      </c>
      <c r="AA952" s="31">
        <v>450</v>
      </c>
      <c r="AB952" s="31">
        <v>1.52</v>
      </c>
    </row>
    <row r="953" customHeight="1" spans="2:28">
      <c r="B953" s="6" t="str">
        <f t="shared" si="14"/>
        <v>43115-DT1EJ20250101-A-TIIU6445894-PARTS</v>
      </c>
      <c r="C953" s="29" t="s">
        <v>80</v>
      </c>
      <c r="D953" s="30" t="s">
        <v>81</v>
      </c>
      <c r="E953" s="30" t="s">
        <v>668</v>
      </c>
      <c r="F953" s="30" t="s">
        <v>669</v>
      </c>
      <c r="G953" s="31" t="s">
        <v>84</v>
      </c>
      <c r="H953" s="31"/>
      <c r="I953" s="31" t="s">
        <v>85</v>
      </c>
      <c r="J953" s="31" t="s">
        <v>670</v>
      </c>
      <c r="K953" s="31" t="s">
        <v>664</v>
      </c>
      <c r="L953" s="31">
        <v>8708923509</v>
      </c>
      <c r="M953" s="32" t="s">
        <v>665</v>
      </c>
      <c r="N953" s="33" t="s">
        <v>666</v>
      </c>
      <c r="O953" s="31">
        <v>2</v>
      </c>
      <c r="P953" s="34">
        <v>767.68</v>
      </c>
      <c r="Q953" s="34">
        <v>123.06</v>
      </c>
      <c r="R953" s="34">
        <v>3.54</v>
      </c>
      <c r="S953" s="34">
        <v>830.98</v>
      </c>
      <c r="T953" s="35">
        <v>16.15</v>
      </c>
      <c r="U953" s="35">
        <v>32.3</v>
      </c>
      <c r="V953" s="35">
        <v>19.61</v>
      </c>
      <c r="W953" s="35">
        <v>39.22</v>
      </c>
      <c r="X953" s="34">
        <v>1661.96</v>
      </c>
      <c r="Y953" s="31"/>
      <c r="Z953" s="31"/>
      <c r="AA953" s="31"/>
      <c r="AB953" s="31"/>
    </row>
    <row r="954" customHeight="1" spans="2:28">
      <c r="B954" s="6" t="str">
        <f t="shared" si="14"/>
        <v>43115-DT1EJ20250101-A-TIIU6445894-PARTS</v>
      </c>
      <c r="C954" t="s">
        <v>80</v>
      </c>
      <c r="D954" t="s">
        <v>81</v>
      </c>
      <c r="E954" t="s">
        <v>668</v>
      </c>
      <c r="F954" t="s">
        <v>669</v>
      </c>
      <c r="G954" s="1" t="s">
        <v>84</v>
      </c>
      <c r="I954" s="1" t="s">
        <v>85</v>
      </c>
      <c r="J954" s="1" t="s">
        <v>671</v>
      </c>
      <c r="K954" s="1" t="s">
        <v>661</v>
      </c>
      <c r="L954">
        <v>8708809909</v>
      </c>
      <c r="M954" s="2" t="s">
        <v>662</v>
      </c>
      <c r="N954" s="3" t="s">
        <v>663</v>
      </c>
      <c r="O954" s="1">
        <v>2</v>
      </c>
      <c r="P954" s="4">
        <v>2524.35</v>
      </c>
      <c r="Q954" s="4">
        <v>404.4</v>
      </c>
      <c r="R954" s="4">
        <v>11.64</v>
      </c>
      <c r="S954" s="4">
        <v>2732.37</v>
      </c>
      <c r="T954" s="5">
        <v>67.85</v>
      </c>
      <c r="U954" s="5">
        <v>135.7</v>
      </c>
      <c r="V954" s="5">
        <v>82.39</v>
      </c>
      <c r="W954" s="5">
        <v>164.78</v>
      </c>
      <c r="X954" s="4">
        <v>5464.74</v>
      </c>
      <c r="Y954">
        <v>2280</v>
      </c>
      <c r="Z954">
        <v>1480</v>
      </c>
      <c r="AA954">
        <v>450</v>
      </c>
      <c r="AB954" s="1">
        <v>1.52</v>
      </c>
    </row>
    <row r="955" customHeight="1" spans="2:28">
      <c r="B955" s="6" t="str">
        <f t="shared" si="14"/>
        <v>43115-DT1EJ20250101-A-TIIU6445894-PARTS</v>
      </c>
      <c r="C955" t="s">
        <v>80</v>
      </c>
      <c r="D955" t="s">
        <v>81</v>
      </c>
      <c r="E955" t="s">
        <v>668</v>
      </c>
      <c r="F955" t="s">
        <v>669</v>
      </c>
      <c r="G955" s="1" t="s">
        <v>84</v>
      </c>
      <c r="I955" s="1" t="s">
        <v>85</v>
      </c>
      <c r="J955" s="1" t="s">
        <v>671</v>
      </c>
      <c r="K955" s="1" t="s">
        <v>664</v>
      </c>
      <c r="L955">
        <v>8708923509</v>
      </c>
      <c r="M955" s="2" t="s">
        <v>665</v>
      </c>
      <c r="N955" s="3" t="s">
        <v>666</v>
      </c>
      <c r="O955" s="1">
        <v>2</v>
      </c>
      <c r="P955" s="4">
        <v>767.68</v>
      </c>
      <c r="Q955" s="4">
        <v>123.06</v>
      </c>
      <c r="R955" s="4">
        <v>3.54</v>
      </c>
      <c r="S955" s="4">
        <v>830.98</v>
      </c>
      <c r="T955" s="5">
        <v>16.15</v>
      </c>
      <c r="U955" s="5">
        <v>32.3</v>
      </c>
      <c r="V955" s="5">
        <v>19.61</v>
      </c>
      <c r="W955" s="5">
        <v>39.22</v>
      </c>
      <c r="X955" s="4">
        <v>1661.96</v>
      </c>
    </row>
    <row r="956" customHeight="1" spans="2:28">
      <c r="B956" s="6" t="str">
        <f t="shared" si="14"/>
        <v>43115-DT1EJ20250101-A-TIIU6448168-PARTS</v>
      </c>
      <c r="C956" t="s">
        <v>80</v>
      </c>
      <c r="D956" t="s">
        <v>81</v>
      </c>
      <c r="E956" t="s">
        <v>672</v>
      </c>
      <c r="F956" t="s">
        <v>673</v>
      </c>
      <c r="G956" s="1" t="s">
        <v>84</v>
      </c>
      <c r="I956" s="1" t="s">
        <v>85</v>
      </c>
      <c r="J956" s="1" t="s">
        <v>674</v>
      </c>
      <c r="K956" s="1" t="s">
        <v>661</v>
      </c>
      <c r="L956">
        <v>8708809909</v>
      </c>
      <c r="M956" s="2" t="s">
        <v>662</v>
      </c>
      <c r="N956" s="3" t="s">
        <v>663</v>
      </c>
      <c r="O956" s="1">
        <v>2</v>
      </c>
      <c r="P956" s="4">
        <v>2524.35</v>
      </c>
      <c r="Q956" s="4">
        <v>404.4</v>
      </c>
      <c r="R956" s="4">
        <v>11.64</v>
      </c>
      <c r="S956" s="4">
        <v>2732.37</v>
      </c>
      <c r="T956" s="5">
        <v>67.85</v>
      </c>
      <c r="U956" s="5">
        <v>135.7</v>
      </c>
      <c r="V956" s="5">
        <v>82.39</v>
      </c>
      <c r="W956" s="5">
        <v>164.78</v>
      </c>
      <c r="X956" s="4">
        <v>5464.74</v>
      </c>
      <c r="Y956">
        <v>2280</v>
      </c>
      <c r="Z956">
        <v>1480</v>
      </c>
      <c r="AA956">
        <v>450</v>
      </c>
      <c r="AB956" s="1">
        <v>1.52</v>
      </c>
    </row>
    <row r="957" customHeight="1" spans="2:28">
      <c r="B957" s="6" t="str">
        <f t="shared" si="14"/>
        <v>43115-DT1EJ20250101-A-TIIU6448168-PARTS</v>
      </c>
      <c r="C957" t="s">
        <v>80</v>
      </c>
      <c r="D957" t="s">
        <v>81</v>
      </c>
      <c r="E957" t="s">
        <v>672</v>
      </c>
      <c r="F957" t="s">
        <v>673</v>
      </c>
      <c r="G957" s="1" t="s">
        <v>84</v>
      </c>
      <c r="I957" s="1" t="s">
        <v>85</v>
      </c>
      <c r="J957" s="1" t="s">
        <v>674</v>
      </c>
      <c r="K957" s="1" t="s">
        <v>664</v>
      </c>
      <c r="L957">
        <v>8708923509</v>
      </c>
      <c r="M957" s="2" t="s">
        <v>665</v>
      </c>
      <c r="N957" s="3" t="s">
        <v>666</v>
      </c>
      <c r="O957" s="1">
        <v>2</v>
      </c>
      <c r="P957" s="4">
        <v>767.68</v>
      </c>
      <c r="Q957" s="4">
        <v>123.06</v>
      </c>
      <c r="R957" s="4">
        <v>3.54</v>
      </c>
      <c r="S957" s="4">
        <v>830.98</v>
      </c>
      <c r="T957" s="5">
        <v>16.15</v>
      </c>
      <c r="U957" s="5">
        <v>32.3</v>
      </c>
      <c r="V957" s="5">
        <v>19.61</v>
      </c>
      <c r="W957" s="5">
        <v>39.22</v>
      </c>
      <c r="X957" s="4">
        <v>1661.96</v>
      </c>
    </row>
    <row r="958" customHeight="1" spans="2:28">
      <c r="B958" s="6" t="str">
        <f t="shared" si="14"/>
        <v>43115-DT1EJ20250101-A-TIIU6448168-PARTS</v>
      </c>
      <c r="C958" t="s">
        <v>80</v>
      </c>
      <c r="D958" t="s">
        <v>81</v>
      </c>
      <c r="E958" t="s">
        <v>672</v>
      </c>
      <c r="F958" t="s">
        <v>673</v>
      </c>
      <c r="G958" s="1" t="s">
        <v>84</v>
      </c>
      <c r="I958" s="1" t="s">
        <v>85</v>
      </c>
      <c r="J958" s="1" t="s">
        <v>675</v>
      </c>
      <c r="K958" s="1" t="s">
        <v>661</v>
      </c>
      <c r="L958">
        <v>8708809909</v>
      </c>
      <c r="M958" s="2" t="s">
        <v>662</v>
      </c>
      <c r="N958" s="3" t="s">
        <v>663</v>
      </c>
      <c r="O958" s="1">
        <v>2</v>
      </c>
      <c r="P958" s="4">
        <v>2524.35</v>
      </c>
      <c r="Q958" s="4">
        <v>404.4</v>
      </c>
      <c r="R958" s="4">
        <v>11.64</v>
      </c>
      <c r="S958" s="4">
        <v>2732.37</v>
      </c>
      <c r="T958" s="5">
        <v>67.85</v>
      </c>
      <c r="U958" s="5">
        <v>135.7</v>
      </c>
      <c r="V958" s="5">
        <v>82.39</v>
      </c>
      <c r="W958" s="5">
        <v>164.78</v>
      </c>
      <c r="X958" s="4">
        <v>5464.74</v>
      </c>
      <c r="Y958">
        <v>2280</v>
      </c>
      <c r="Z958">
        <v>1480</v>
      </c>
      <c r="AA958">
        <v>450</v>
      </c>
      <c r="AB958" s="1">
        <v>1.52</v>
      </c>
    </row>
    <row r="959" customHeight="1" spans="2:28">
      <c r="B959" s="6" t="str">
        <f t="shared" si="14"/>
        <v>43115-DT1EJ20250101-A-TIIU6448168-PARTS</v>
      </c>
      <c r="C959" t="s">
        <v>80</v>
      </c>
      <c r="D959" t="s">
        <v>81</v>
      </c>
      <c r="E959" t="s">
        <v>672</v>
      </c>
      <c r="F959" t="s">
        <v>673</v>
      </c>
      <c r="G959" s="1" t="s">
        <v>84</v>
      </c>
      <c r="I959" s="1" t="s">
        <v>85</v>
      </c>
      <c r="J959" s="1" t="s">
        <v>675</v>
      </c>
      <c r="K959" s="1" t="s">
        <v>664</v>
      </c>
      <c r="L959">
        <v>8708923509</v>
      </c>
      <c r="M959" s="2" t="s">
        <v>665</v>
      </c>
      <c r="N959" s="3" t="s">
        <v>666</v>
      </c>
      <c r="O959" s="1">
        <v>2</v>
      </c>
      <c r="P959" s="4">
        <v>767.68</v>
      </c>
      <c r="Q959" s="4">
        <v>123.06</v>
      </c>
      <c r="R959" s="4">
        <v>3.54</v>
      </c>
      <c r="S959" s="4">
        <v>830.98</v>
      </c>
      <c r="T959" s="5">
        <v>16.15</v>
      </c>
      <c r="U959" s="5">
        <v>32.3</v>
      </c>
      <c r="V959" s="5">
        <v>19.61</v>
      </c>
      <c r="W959" s="5">
        <v>39.22</v>
      </c>
      <c r="X959" s="4">
        <v>1661.96</v>
      </c>
    </row>
    <row r="960" customHeight="1" spans="2:28">
      <c r="B960" s="6" t="str">
        <f t="shared" si="14"/>
        <v>43115-DT1EJ20250101-A-TIIU6448511-PARTS</v>
      </c>
      <c r="C960" s="29" t="s">
        <v>80</v>
      </c>
      <c r="D960" s="30" t="s">
        <v>81</v>
      </c>
      <c r="E960" s="30" t="s">
        <v>676</v>
      </c>
      <c r="F960" s="30" t="s">
        <v>677</v>
      </c>
      <c r="G960" s="31" t="s">
        <v>84</v>
      </c>
      <c r="H960" s="31"/>
      <c r="I960" s="31" t="s">
        <v>85</v>
      </c>
      <c r="J960" s="31" t="s">
        <v>678</v>
      </c>
      <c r="K960" s="31" t="s">
        <v>661</v>
      </c>
      <c r="L960" s="31">
        <v>8708809909</v>
      </c>
      <c r="M960" s="32" t="s">
        <v>662</v>
      </c>
      <c r="N960" s="33" t="s">
        <v>663</v>
      </c>
      <c r="O960" s="31">
        <v>2</v>
      </c>
      <c r="P960" s="34">
        <v>2524.35</v>
      </c>
      <c r="Q960" s="34">
        <v>404.4</v>
      </c>
      <c r="R960" s="34">
        <v>11.64</v>
      </c>
      <c r="S960" s="34">
        <v>2732.37</v>
      </c>
      <c r="T960" s="35">
        <v>67.85</v>
      </c>
      <c r="U960" s="35">
        <v>135.7</v>
      </c>
      <c r="V960" s="35">
        <v>82.39</v>
      </c>
      <c r="W960" s="35">
        <v>164.78</v>
      </c>
      <c r="X960" s="34">
        <v>5464.74</v>
      </c>
      <c r="Y960" s="31">
        <v>2280</v>
      </c>
      <c r="Z960" s="31">
        <v>1480</v>
      </c>
      <c r="AA960" s="31">
        <v>450</v>
      </c>
      <c r="AB960" s="31">
        <v>1.52</v>
      </c>
    </row>
    <row r="961" customHeight="1" spans="2:28">
      <c r="B961" s="6" t="str">
        <f t="shared" si="14"/>
        <v>43115-DT1EJ20250101-A-TIIU6448511-PARTS</v>
      </c>
      <c r="C961" s="29" t="s">
        <v>80</v>
      </c>
      <c r="D961" s="30" t="s">
        <v>81</v>
      </c>
      <c r="E961" s="30" t="s">
        <v>676</v>
      </c>
      <c r="F961" s="30" t="s">
        <v>677</v>
      </c>
      <c r="G961" s="31" t="s">
        <v>84</v>
      </c>
      <c r="H961" s="31"/>
      <c r="I961" s="31" t="s">
        <v>85</v>
      </c>
      <c r="J961" s="31" t="s">
        <v>678</v>
      </c>
      <c r="K961" s="31" t="s">
        <v>664</v>
      </c>
      <c r="L961" s="31">
        <v>8708923509</v>
      </c>
      <c r="M961" s="32" t="s">
        <v>665</v>
      </c>
      <c r="N961" s="33" t="s">
        <v>666</v>
      </c>
      <c r="O961" s="31">
        <v>2</v>
      </c>
      <c r="P961" s="34">
        <v>767.68</v>
      </c>
      <c r="Q961" s="34">
        <v>123.06</v>
      </c>
      <c r="R961" s="34">
        <v>3.54</v>
      </c>
      <c r="S961" s="34">
        <v>830.98</v>
      </c>
      <c r="T961" s="35">
        <v>16.15</v>
      </c>
      <c r="U961" s="35">
        <v>32.3</v>
      </c>
      <c r="V961" s="35">
        <v>19.61</v>
      </c>
      <c r="W961" s="35">
        <v>39.22</v>
      </c>
      <c r="X961" s="34">
        <v>1661.96</v>
      </c>
      <c r="Y961" s="31"/>
      <c r="Z961" s="31"/>
      <c r="AA961" s="31"/>
      <c r="AB961" s="31"/>
    </row>
    <row r="962" customHeight="1" spans="2:28">
      <c r="B962" s="6" t="str">
        <f t="shared" ref="B962:B1025" si="15">CONCATENATE(C962,"-",E962,"-",G962)</f>
        <v>43115-DT1EJ20250101-A-TIIU6448511-PARTS</v>
      </c>
      <c r="C962" s="29" t="s">
        <v>80</v>
      </c>
      <c r="D962" s="30" t="s">
        <v>81</v>
      </c>
      <c r="E962" s="30" t="s">
        <v>676</v>
      </c>
      <c r="F962" s="30" t="s">
        <v>677</v>
      </c>
      <c r="G962" s="31" t="s">
        <v>84</v>
      </c>
      <c r="H962" s="31"/>
      <c r="I962" s="31" t="s">
        <v>85</v>
      </c>
      <c r="J962" s="31" t="s">
        <v>679</v>
      </c>
      <c r="K962" s="31" t="s">
        <v>661</v>
      </c>
      <c r="L962" s="31">
        <v>8708809909</v>
      </c>
      <c r="M962" s="32" t="s">
        <v>662</v>
      </c>
      <c r="N962" s="33" t="s">
        <v>663</v>
      </c>
      <c r="O962" s="31">
        <v>2</v>
      </c>
      <c r="P962" s="34">
        <v>2524.35</v>
      </c>
      <c r="Q962" s="34">
        <v>404.4</v>
      </c>
      <c r="R962" s="34">
        <v>11.64</v>
      </c>
      <c r="S962" s="34">
        <v>2732.37</v>
      </c>
      <c r="T962" s="35">
        <v>67.85</v>
      </c>
      <c r="U962" s="35">
        <v>135.7</v>
      </c>
      <c r="V962" s="35">
        <v>82.39</v>
      </c>
      <c r="W962" s="35">
        <v>164.78</v>
      </c>
      <c r="X962" s="34">
        <v>5464.74</v>
      </c>
      <c r="Y962" s="31">
        <v>2280</v>
      </c>
      <c r="Z962" s="31">
        <v>1480</v>
      </c>
      <c r="AA962" s="31">
        <v>450</v>
      </c>
      <c r="AB962" s="31">
        <v>1.52</v>
      </c>
    </row>
    <row r="963" customHeight="1" spans="2:28">
      <c r="B963" s="6" t="str">
        <f t="shared" si="15"/>
        <v>43115-DT1EJ20250101-A-TIIU6448511-PARTS</v>
      </c>
      <c r="C963" s="29" t="s">
        <v>80</v>
      </c>
      <c r="D963" s="30" t="s">
        <v>81</v>
      </c>
      <c r="E963" s="30" t="s">
        <v>676</v>
      </c>
      <c r="F963" s="30" t="s">
        <v>677</v>
      </c>
      <c r="G963" s="31" t="s">
        <v>84</v>
      </c>
      <c r="H963" s="31"/>
      <c r="I963" s="31" t="s">
        <v>85</v>
      </c>
      <c r="J963" s="31" t="s">
        <v>679</v>
      </c>
      <c r="K963" s="31" t="s">
        <v>664</v>
      </c>
      <c r="L963" s="31">
        <v>8708923509</v>
      </c>
      <c r="M963" s="32" t="s">
        <v>665</v>
      </c>
      <c r="N963" s="33" t="s">
        <v>666</v>
      </c>
      <c r="O963" s="31">
        <v>2</v>
      </c>
      <c r="P963" s="34">
        <v>767.68</v>
      </c>
      <c r="Q963" s="34">
        <v>123.06</v>
      </c>
      <c r="R963" s="34">
        <v>3.54</v>
      </c>
      <c r="S963" s="34">
        <v>830.98</v>
      </c>
      <c r="T963" s="35">
        <v>16.15</v>
      </c>
      <c r="U963" s="35">
        <v>32.3</v>
      </c>
      <c r="V963" s="35">
        <v>19.61</v>
      </c>
      <c r="W963" s="35">
        <v>39.22</v>
      </c>
      <c r="X963" s="34">
        <v>1661.96</v>
      </c>
      <c r="Y963" s="31"/>
      <c r="Z963" s="31"/>
      <c r="AA963" s="31"/>
      <c r="AB963" s="31"/>
    </row>
    <row r="964" customHeight="1" spans="2:28">
      <c r="B964" s="6" t="str">
        <f t="shared" si="15"/>
        <v>43115-DT1EJ20250101-A-TIIU6448888-PARTS</v>
      </c>
      <c r="C964" s="29" t="s">
        <v>80</v>
      </c>
      <c r="D964" s="30" t="s">
        <v>81</v>
      </c>
      <c r="E964" s="30" t="s">
        <v>680</v>
      </c>
      <c r="F964" s="30" t="s">
        <v>681</v>
      </c>
      <c r="G964" s="31" t="s">
        <v>84</v>
      </c>
      <c r="H964" s="31"/>
      <c r="I964" s="31" t="s">
        <v>85</v>
      </c>
      <c r="J964" s="31" t="s">
        <v>682</v>
      </c>
      <c r="K964" s="31" t="s">
        <v>661</v>
      </c>
      <c r="L964" s="31">
        <v>8708809909</v>
      </c>
      <c r="M964" s="32" t="s">
        <v>662</v>
      </c>
      <c r="N964" s="33" t="s">
        <v>663</v>
      </c>
      <c r="O964" s="31">
        <v>2</v>
      </c>
      <c r="P964" s="34">
        <v>2524.35</v>
      </c>
      <c r="Q964" s="34">
        <v>404.4</v>
      </c>
      <c r="R964" s="34">
        <v>11.64</v>
      </c>
      <c r="S964" s="34">
        <v>2732.37</v>
      </c>
      <c r="T964" s="35">
        <v>67.85</v>
      </c>
      <c r="U964" s="35">
        <v>135.7</v>
      </c>
      <c r="V964" s="35">
        <v>82.39</v>
      </c>
      <c r="W964" s="35">
        <v>164.78</v>
      </c>
      <c r="X964" s="34">
        <v>5464.74</v>
      </c>
      <c r="Y964" s="31">
        <v>2280</v>
      </c>
      <c r="Z964" s="31">
        <v>1480</v>
      </c>
      <c r="AA964" s="31">
        <v>450</v>
      </c>
      <c r="AB964" s="31">
        <v>1.52</v>
      </c>
    </row>
    <row r="965" customHeight="1" spans="2:28">
      <c r="B965" s="6" t="str">
        <f t="shared" si="15"/>
        <v>43115-DT1EJ20250101-A-TIIU6448888-PARTS</v>
      </c>
      <c r="C965" s="29" t="s">
        <v>80</v>
      </c>
      <c r="D965" s="30" t="s">
        <v>81</v>
      </c>
      <c r="E965" s="30" t="s">
        <v>680</v>
      </c>
      <c r="F965" s="30" t="s">
        <v>681</v>
      </c>
      <c r="G965" s="31" t="s">
        <v>84</v>
      </c>
      <c r="H965" s="31"/>
      <c r="I965" s="31" t="s">
        <v>85</v>
      </c>
      <c r="J965" s="31" t="s">
        <v>682</v>
      </c>
      <c r="K965" s="31" t="s">
        <v>664</v>
      </c>
      <c r="L965" s="31">
        <v>8708923509</v>
      </c>
      <c r="M965" s="32" t="s">
        <v>665</v>
      </c>
      <c r="N965" s="33" t="s">
        <v>666</v>
      </c>
      <c r="O965" s="31">
        <v>2</v>
      </c>
      <c r="P965" s="34">
        <v>767.68</v>
      </c>
      <c r="Q965" s="34">
        <v>123.06</v>
      </c>
      <c r="R965" s="34">
        <v>3.54</v>
      </c>
      <c r="S965" s="34">
        <v>830.98</v>
      </c>
      <c r="T965" s="35">
        <v>16.15</v>
      </c>
      <c r="U965" s="35">
        <v>32.3</v>
      </c>
      <c r="V965" s="35">
        <v>19.61</v>
      </c>
      <c r="W965" s="35">
        <v>39.22</v>
      </c>
      <c r="X965" s="34">
        <v>1661.96</v>
      </c>
      <c r="Y965" s="31"/>
      <c r="Z965" s="31"/>
      <c r="AA965" s="31"/>
      <c r="AB965" s="31"/>
    </row>
    <row r="966" customHeight="1" spans="2:28">
      <c r="B966" s="6" t="str">
        <f t="shared" si="15"/>
        <v>43115-DT1EJ20250101-A-TIIU6448888-PARTS</v>
      </c>
      <c r="C966" s="29" t="s">
        <v>80</v>
      </c>
      <c r="D966" s="30" t="s">
        <v>81</v>
      </c>
      <c r="E966" s="30" t="s">
        <v>680</v>
      </c>
      <c r="F966" s="30" t="s">
        <v>681</v>
      </c>
      <c r="G966" s="31" t="s">
        <v>84</v>
      </c>
      <c r="H966" s="31"/>
      <c r="I966" s="31" t="s">
        <v>85</v>
      </c>
      <c r="J966" s="31" t="s">
        <v>683</v>
      </c>
      <c r="K966" s="31" t="s">
        <v>661</v>
      </c>
      <c r="L966" s="31">
        <v>8708809909</v>
      </c>
      <c r="M966" s="32" t="s">
        <v>662</v>
      </c>
      <c r="N966" s="33" t="s">
        <v>663</v>
      </c>
      <c r="O966" s="31">
        <v>2</v>
      </c>
      <c r="P966" s="34">
        <v>2524.35</v>
      </c>
      <c r="Q966" s="34">
        <v>404.4</v>
      </c>
      <c r="R966" s="34">
        <v>11.64</v>
      </c>
      <c r="S966" s="34">
        <v>2732.37</v>
      </c>
      <c r="T966" s="35">
        <v>67.85</v>
      </c>
      <c r="U966" s="35">
        <v>135.7</v>
      </c>
      <c r="V966" s="35">
        <v>82.39</v>
      </c>
      <c r="W966" s="35">
        <v>164.78</v>
      </c>
      <c r="X966" s="34">
        <v>5464.74</v>
      </c>
      <c r="Y966" s="31">
        <v>2280</v>
      </c>
      <c r="Z966" s="31">
        <v>1480</v>
      </c>
      <c r="AA966" s="31">
        <v>450</v>
      </c>
      <c r="AB966" s="31">
        <v>1.52</v>
      </c>
    </row>
    <row r="967" customHeight="1" spans="2:28">
      <c r="B967" s="6" t="str">
        <f t="shared" si="15"/>
        <v>43115-DT1EJ20250101-A-TIIU6448888-PARTS</v>
      </c>
      <c r="C967" t="s">
        <v>80</v>
      </c>
      <c r="D967" t="s">
        <v>81</v>
      </c>
      <c r="E967" t="s">
        <v>680</v>
      </c>
      <c r="F967" t="s">
        <v>681</v>
      </c>
      <c r="G967" s="1" t="s">
        <v>84</v>
      </c>
      <c r="I967" s="1" t="s">
        <v>85</v>
      </c>
      <c r="J967" s="1" t="s">
        <v>683</v>
      </c>
      <c r="K967" s="1" t="s">
        <v>664</v>
      </c>
      <c r="L967">
        <v>8708923509</v>
      </c>
      <c r="M967" s="2" t="s">
        <v>665</v>
      </c>
      <c r="N967" s="3" t="s">
        <v>666</v>
      </c>
      <c r="O967" s="1">
        <v>2</v>
      </c>
      <c r="P967" s="4">
        <v>767.68</v>
      </c>
      <c r="Q967" s="4">
        <v>123.06</v>
      </c>
      <c r="R967" s="4">
        <v>3.54</v>
      </c>
      <c r="S967" s="4">
        <v>830.98</v>
      </c>
      <c r="T967" s="5">
        <v>16.15</v>
      </c>
      <c r="U967" s="5">
        <v>32.3</v>
      </c>
      <c r="V967" s="5">
        <v>19.61</v>
      </c>
      <c r="W967" s="5">
        <v>39.22</v>
      </c>
      <c r="X967" s="4">
        <v>1661.96</v>
      </c>
    </row>
    <row r="968" customHeight="1" spans="2:28">
      <c r="B968" s="6" t="str">
        <f t="shared" si="15"/>
        <v>43115-DT1EJ20250101-A-TIIU6451304-PARTS</v>
      </c>
      <c r="C968" s="29" t="s">
        <v>80</v>
      </c>
      <c r="D968" s="30" t="s">
        <v>81</v>
      </c>
      <c r="E968" s="30" t="s">
        <v>684</v>
      </c>
      <c r="F968" s="30" t="s">
        <v>685</v>
      </c>
      <c r="G968" s="31" t="s">
        <v>84</v>
      </c>
      <c r="H968" s="31"/>
      <c r="I968" s="31" t="s">
        <v>85</v>
      </c>
      <c r="J968" s="31" t="s">
        <v>686</v>
      </c>
      <c r="K968" s="31" t="s">
        <v>661</v>
      </c>
      <c r="L968" s="31">
        <v>8708809909</v>
      </c>
      <c r="M968" s="32" t="s">
        <v>662</v>
      </c>
      <c r="N968" s="33" t="s">
        <v>663</v>
      </c>
      <c r="O968" s="31">
        <v>2</v>
      </c>
      <c r="P968" s="34">
        <v>2524.35</v>
      </c>
      <c r="Q968" s="34">
        <v>404.4</v>
      </c>
      <c r="R968" s="34">
        <v>11.64</v>
      </c>
      <c r="S968" s="34">
        <v>2732.37</v>
      </c>
      <c r="T968" s="35">
        <v>67.85</v>
      </c>
      <c r="U968" s="35">
        <v>135.7</v>
      </c>
      <c r="V968" s="35">
        <v>82.39</v>
      </c>
      <c r="W968" s="35">
        <v>164.78</v>
      </c>
      <c r="X968" s="34">
        <v>5464.74</v>
      </c>
      <c r="Y968" s="31">
        <v>2280</v>
      </c>
      <c r="Z968" s="31">
        <v>1480</v>
      </c>
      <c r="AA968" s="31">
        <v>450</v>
      </c>
      <c r="AB968" s="31">
        <v>1.52</v>
      </c>
    </row>
    <row r="969" customHeight="1" spans="2:28">
      <c r="B969" s="6" t="str">
        <f t="shared" si="15"/>
        <v>43115-DT1EJ20250101-A-TIIU6451304-PARTS</v>
      </c>
      <c r="C969" t="s">
        <v>80</v>
      </c>
      <c r="D969" t="s">
        <v>81</v>
      </c>
      <c r="E969" t="s">
        <v>684</v>
      </c>
      <c r="F969" t="s">
        <v>685</v>
      </c>
      <c r="G969" s="1" t="s">
        <v>84</v>
      </c>
      <c r="I969" s="1" t="s">
        <v>85</v>
      </c>
      <c r="J969" s="1" t="s">
        <v>686</v>
      </c>
      <c r="K969" s="1" t="s">
        <v>664</v>
      </c>
      <c r="L969">
        <v>8708923509</v>
      </c>
      <c r="M969" s="2" t="s">
        <v>665</v>
      </c>
      <c r="N969" s="3" t="s">
        <v>666</v>
      </c>
      <c r="O969" s="1">
        <v>2</v>
      </c>
      <c r="P969" s="4">
        <v>767.68</v>
      </c>
      <c r="Q969" s="4">
        <v>123.06</v>
      </c>
      <c r="R969" s="4">
        <v>3.54</v>
      </c>
      <c r="S969" s="4">
        <v>830.98</v>
      </c>
      <c r="T969" s="5">
        <v>16.15</v>
      </c>
      <c r="U969" s="5">
        <v>32.3</v>
      </c>
      <c r="V969" s="5">
        <v>19.61</v>
      </c>
      <c r="W969" s="5">
        <v>39.22</v>
      </c>
      <c r="X969" s="4">
        <v>1661.96</v>
      </c>
    </row>
    <row r="970" customHeight="1" spans="2:28">
      <c r="B970" s="6" t="str">
        <f t="shared" si="15"/>
        <v>43115-DT1EJ20250101-A-TIIU6451304-PARTS</v>
      </c>
      <c r="C970" t="s">
        <v>80</v>
      </c>
      <c r="D970" t="s">
        <v>81</v>
      </c>
      <c r="E970" t="s">
        <v>684</v>
      </c>
      <c r="F970" t="s">
        <v>685</v>
      </c>
      <c r="G970" s="1" t="s">
        <v>84</v>
      </c>
      <c r="I970" s="1" t="s">
        <v>85</v>
      </c>
      <c r="J970" s="1" t="s">
        <v>687</v>
      </c>
      <c r="K970" s="1" t="s">
        <v>661</v>
      </c>
      <c r="L970">
        <v>8708809909</v>
      </c>
      <c r="M970" s="2" t="s">
        <v>662</v>
      </c>
      <c r="N970" s="3" t="s">
        <v>663</v>
      </c>
      <c r="O970" s="1">
        <v>2</v>
      </c>
      <c r="P970" s="4">
        <v>2524.35</v>
      </c>
      <c r="Q970" s="4">
        <v>404.4</v>
      </c>
      <c r="R970" s="4">
        <v>11.64</v>
      </c>
      <c r="S970" s="4">
        <v>2732.37</v>
      </c>
      <c r="T970" s="5">
        <v>67.85</v>
      </c>
      <c r="U970" s="5">
        <v>135.7</v>
      </c>
      <c r="V970" s="5">
        <v>82.39</v>
      </c>
      <c r="W970" s="5">
        <v>164.78</v>
      </c>
      <c r="X970" s="4">
        <v>5464.74</v>
      </c>
      <c r="Y970">
        <v>2280</v>
      </c>
      <c r="Z970">
        <v>1480</v>
      </c>
      <c r="AA970">
        <v>450</v>
      </c>
      <c r="AB970" s="1">
        <v>1.52</v>
      </c>
    </row>
    <row r="971" customHeight="1" spans="2:28">
      <c r="B971" s="6" t="str">
        <f t="shared" si="15"/>
        <v>43115-DT1EJ20250101-A-TIIU6451304-PARTS</v>
      </c>
      <c r="C971" t="s">
        <v>80</v>
      </c>
      <c r="D971" t="s">
        <v>81</v>
      </c>
      <c r="E971" t="s">
        <v>684</v>
      </c>
      <c r="F971" t="s">
        <v>685</v>
      </c>
      <c r="G971" s="1" t="s">
        <v>84</v>
      </c>
      <c r="I971" s="1" t="s">
        <v>85</v>
      </c>
      <c r="J971" s="1" t="s">
        <v>687</v>
      </c>
      <c r="K971" s="1" t="s">
        <v>664</v>
      </c>
      <c r="L971">
        <v>8708923509</v>
      </c>
      <c r="M971" s="2" t="s">
        <v>665</v>
      </c>
      <c r="N971" s="3" t="s">
        <v>666</v>
      </c>
      <c r="O971" s="1">
        <v>2</v>
      </c>
      <c r="P971" s="4">
        <v>767.68</v>
      </c>
      <c r="Q971" s="4">
        <v>123.06</v>
      </c>
      <c r="R971" s="4">
        <v>3.54</v>
      </c>
      <c r="S971" s="4">
        <v>830.98</v>
      </c>
      <c r="T971" s="5">
        <v>16.15</v>
      </c>
      <c r="U971" s="5">
        <v>32.3</v>
      </c>
      <c r="V971" s="5">
        <v>19.61</v>
      </c>
      <c r="W971" s="5">
        <v>39.22</v>
      </c>
      <c r="X971" s="4">
        <v>1661.96</v>
      </c>
    </row>
    <row r="972" customHeight="1" spans="2:28">
      <c r="B972" s="6" t="str">
        <f t="shared" si="15"/>
        <v>43115-DT1EJ20250101-A-TIIU6451829-PARTS</v>
      </c>
      <c r="C972" t="s">
        <v>80</v>
      </c>
      <c r="D972" t="s">
        <v>81</v>
      </c>
      <c r="E972" t="s">
        <v>688</v>
      </c>
      <c r="F972" t="s">
        <v>689</v>
      </c>
      <c r="G972" s="1" t="s">
        <v>84</v>
      </c>
      <c r="I972" s="1" t="s">
        <v>85</v>
      </c>
      <c r="J972" s="1" t="s">
        <v>690</v>
      </c>
      <c r="K972" s="1" t="s">
        <v>661</v>
      </c>
      <c r="L972">
        <v>8708809909</v>
      </c>
      <c r="M972" s="2" t="s">
        <v>662</v>
      </c>
      <c r="N972" s="3" t="s">
        <v>663</v>
      </c>
      <c r="O972" s="1">
        <v>2</v>
      </c>
      <c r="P972" s="4">
        <v>2524.35</v>
      </c>
      <c r="Q972" s="4">
        <v>404.4</v>
      </c>
      <c r="R972" s="4">
        <v>11.64</v>
      </c>
      <c r="S972" s="4">
        <v>2732.37</v>
      </c>
      <c r="T972" s="5">
        <v>67.85</v>
      </c>
      <c r="U972" s="5">
        <v>135.7</v>
      </c>
      <c r="V972" s="5">
        <v>82.39</v>
      </c>
      <c r="W972" s="5">
        <v>164.78</v>
      </c>
      <c r="X972" s="4">
        <v>5464.74</v>
      </c>
      <c r="Y972">
        <v>2280</v>
      </c>
      <c r="Z972">
        <v>1480</v>
      </c>
      <c r="AA972">
        <v>450</v>
      </c>
      <c r="AB972" s="1">
        <v>1.52</v>
      </c>
    </row>
    <row r="973" customHeight="1" spans="2:28">
      <c r="B973" s="6" t="str">
        <f t="shared" si="15"/>
        <v>43115-DT1EJ20250101-A-TIIU6451829-PARTS</v>
      </c>
      <c r="C973" t="s">
        <v>80</v>
      </c>
      <c r="D973" t="s">
        <v>81</v>
      </c>
      <c r="E973" t="s">
        <v>688</v>
      </c>
      <c r="F973" t="s">
        <v>689</v>
      </c>
      <c r="G973" s="1" t="s">
        <v>84</v>
      </c>
      <c r="I973" s="1" t="s">
        <v>85</v>
      </c>
      <c r="J973" s="1" t="s">
        <v>690</v>
      </c>
      <c r="K973" s="1" t="s">
        <v>664</v>
      </c>
      <c r="L973">
        <v>8708923509</v>
      </c>
      <c r="M973" s="2" t="s">
        <v>665</v>
      </c>
      <c r="N973" s="3" t="s">
        <v>666</v>
      </c>
      <c r="O973" s="1">
        <v>2</v>
      </c>
      <c r="P973" s="4">
        <v>767.68</v>
      </c>
      <c r="Q973" s="4">
        <v>123.06</v>
      </c>
      <c r="R973" s="4">
        <v>3.54</v>
      </c>
      <c r="S973" s="4">
        <v>830.98</v>
      </c>
      <c r="T973" s="5">
        <v>16.15</v>
      </c>
      <c r="U973" s="5">
        <v>32.3</v>
      </c>
      <c r="V973" s="5">
        <v>19.61</v>
      </c>
      <c r="W973" s="5">
        <v>39.22</v>
      </c>
      <c r="X973" s="4">
        <v>1661.96</v>
      </c>
    </row>
    <row r="974" customHeight="1" spans="2:28">
      <c r="B974" s="6" t="str">
        <f t="shared" si="15"/>
        <v>43115-DT1EJ20250101-A-TIIU6451829-PARTS</v>
      </c>
      <c r="C974" t="s">
        <v>80</v>
      </c>
      <c r="D974" t="s">
        <v>81</v>
      </c>
      <c r="E974" t="s">
        <v>688</v>
      </c>
      <c r="F974" t="s">
        <v>689</v>
      </c>
      <c r="G974" s="1" t="s">
        <v>84</v>
      </c>
      <c r="I974" s="1" t="s">
        <v>85</v>
      </c>
      <c r="J974" s="1" t="s">
        <v>691</v>
      </c>
      <c r="K974" s="1" t="s">
        <v>661</v>
      </c>
      <c r="L974">
        <v>8708809909</v>
      </c>
      <c r="M974" s="2" t="s">
        <v>662</v>
      </c>
      <c r="N974" s="3" t="s">
        <v>663</v>
      </c>
      <c r="O974" s="1">
        <v>2</v>
      </c>
      <c r="P974" s="4">
        <v>2524.35</v>
      </c>
      <c r="Q974" s="4">
        <v>404.4</v>
      </c>
      <c r="R974" s="4">
        <v>11.64</v>
      </c>
      <c r="S974" s="4">
        <v>2732.37</v>
      </c>
      <c r="T974" s="5">
        <v>67.85</v>
      </c>
      <c r="U974" s="5">
        <v>135.7</v>
      </c>
      <c r="V974" s="5">
        <v>82.39</v>
      </c>
      <c r="W974" s="5">
        <v>164.78</v>
      </c>
      <c r="X974" s="4">
        <v>5464.74</v>
      </c>
      <c r="Y974">
        <v>2280</v>
      </c>
      <c r="Z974">
        <v>1480</v>
      </c>
      <c r="AA974">
        <v>450</v>
      </c>
      <c r="AB974" s="1">
        <v>1.52</v>
      </c>
    </row>
    <row r="975" customHeight="1" spans="2:28">
      <c r="B975" s="6" t="str">
        <f t="shared" si="15"/>
        <v>43115-DT1EJ20250101-A-TIIU6451829-PARTS</v>
      </c>
      <c r="C975" t="s">
        <v>80</v>
      </c>
      <c r="D975" t="s">
        <v>81</v>
      </c>
      <c r="E975" t="s">
        <v>688</v>
      </c>
      <c r="F975" t="s">
        <v>689</v>
      </c>
      <c r="G975" s="1" t="s">
        <v>84</v>
      </c>
      <c r="I975" s="1" t="s">
        <v>85</v>
      </c>
      <c r="J975" s="1" t="s">
        <v>691</v>
      </c>
      <c r="K975" s="1" t="s">
        <v>664</v>
      </c>
      <c r="L975">
        <v>8708923509</v>
      </c>
      <c r="M975" s="2" t="s">
        <v>665</v>
      </c>
      <c r="N975" s="3" t="s">
        <v>666</v>
      </c>
      <c r="O975" s="1">
        <v>2</v>
      </c>
      <c r="P975" s="4">
        <v>767.68</v>
      </c>
      <c r="Q975" s="4">
        <v>123.06</v>
      </c>
      <c r="R975" s="4">
        <v>3.54</v>
      </c>
      <c r="S975" s="4">
        <v>830.98</v>
      </c>
      <c r="T975" s="5">
        <v>16.15</v>
      </c>
      <c r="U975" s="5">
        <v>32.3</v>
      </c>
      <c r="V975" s="5">
        <v>19.61</v>
      </c>
      <c r="W975" s="5">
        <v>39.22</v>
      </c>
      <c r="X975" s="4">
        <v>1661.96</v>
      </c>
    </row>
    <row r="976" customHeight="1" spans="2:28">
      <c r="B976" s="6" t="str">
        <f t="shared" si="15"/>
        <v>43115-DT1EJ20250101-A-TIIU6451860-PARTS</v>
      </c>
      <c r="C976" t="s">
        <v>80</v>
      </c>
      <c r="D976" t="s">
        <v>81</v>
      </c>
      <c r="E976" t="s">
        <v>692</v>
      </c>
      <c r="F976" t="s">
        <v>693</v>
      </c>
      <c r="G976" s="1" t="s">
        <v>84</v>
      </c>
      <c r="I976" s="1" t="s">
        <v>85</v>
      </c>
      <c r="J976" s="1" t="s">
        <v>694</v>
      </c>
      <c r="K976" s="1" t="s">
        <v>661</v>
      </c>
      <c r="L976">
        <v>8708809909</v>
      </c>
      <c r="M976" s="2" t="s">
        <v>662</v>
      </c>
      <c r="N976" s="3" t="s">
        <v>663</v>
      </c>
      <c r="O976" s="1">
        <v>2</v>
      </c>
      <c r="P976" s="4">
        <v>2524.35</v>
      </c>
      <c r="Q976" s="4">
        <v>404.4</v>
      </c>
      <c r="R976" s="4">
        <v>11.64</v>
      </c>
      <c r="S976" s="4">
        <v>2732.37</v>
      </c>
      <c r="T976" s="5">
        <v>67.85</v>
      </c>
      <c r="U976" s="5">
        <v>135.7</v>
      </c>
      <c r="V976" s="5">
        <v>82.39</v>
      </c>
      <c r="W976" s="5">
        <v>164.78</v>
      </c>
      <c r="X976" s="4">
        <v>5464.74</v>
      </c>
      <c r="Y976">
        <v>2280</v>
      </c>
      <c r="Z976">
        <v>1480</v>
      </c>
      <c r="AA976">
        <v>450</v>
      </c>
      <c r="AB976" s="1">
        <v>1.52</v>
      </c>
    </row>
    <row r="977" customHeight="1" spans="2:28">
      <c r="B977" s="6" t="str">
        <f t="shared" si="15"/>
        <v>43115-DT1EJ20250101-A-TIIU6451860-PARTS</v>
      </c>
      <c r="C977" t="s">
        <v>80</v>
      </c>
      <c r="D977" t="s">
        <v>81</v>
      </c>
      <c r="E977" t="s">
        <v>692</v>
      </c>
      <c r="F977" t="s">
        <v>693</v>
      </c>
      <c r="G977" s="1" t="s">
        <v>84</v>
      </c>
      <c r="I977" s="1" t="s">
        <v>85</v>
      </c>
      <c r="J977" s="1" t="s">
        <v>694</v>
      </c>
      <c r="K977" s="1" t="s">
        <v>664</v>
      </c>
      <c r="L977">
        <v>8708923509</v>
      </c>
      <c r="M977" s="2" t="s">
        <v>665</v>
      </c>
      <c r="N977" s="3" t="s">
        <v>666</v>
      </c>
      <c r="O977" s="1">
        <v>2</v>
      </c>
      <c r="P977" s="4">
        <v>767.68</v>
      </c>
      <c r="Q977" s="4">
        <v>123.06</v>
      </c>
      <c r="R977" s="4">
        <v>3.54</v>
      </c>
      <c r="S977" s="4">
        <v>830.98</v>
      </c>
      <c r="T977" s="5">
        <v>16.15</v>
      </c>
      <c r="U977" s="5">
        <v>32.3</v>
      </c>
      <c r="V977" s="5">
        <v>19.61</v>
      </c>
      <c r="W977" s="5">
        <v>39.22</v>
      </c>
      <c r="X977" s="4">
        <v>1661.96</v>
      </c>
    </row>
    <row r="978" customHeight="1" spans="2:28">
      <c r="B978" s="6" t="str">
        <f t="shared" si="15"/>
        <v>43115-DT1EJ20250101-A-TIIU6451860-PARTS</v>
      </c>
      <c r="C978" t="s">
        <v>80</v>
      </c>
      <c r="D978" t="s">
        <v>81</v>
      </c>
      <c r="E978" t="s">
        <v>692</v>
      </c>
      <c r="F978" t="s">
        <v>693</v>
      </c>
      <c r="G978" s="1" t="s">
        <v>84</v>
      </c>
      <c r="I978" s="1" t="s">
        <v>85</v>
      </c>
      <c r="J978" s="1" t="s">
        <v>695</v>
      </c>
      <c r="K978" s="1" t="s">
        <v>661</v>
      </c>
      <c r="L978">
        <v>8708809909</v>
      </c>
      <c r="M978" s="2" t="s">
        <v>662</v>
      </c>
      <c r="N978" s="3" t="s">
        <v>663</v>
      </c>
      <c r="O978" s="1">
        <v>2</v>
      </c>
      <c r="P978" s="4">
        <v>2524.35</v>
      </c>
      <c r="Q978" s="4">
        <v>404.4</v>
      </c>
      <c r="R978" s="4">
        <v>11.64</v>
      </c>
      <c r="S978" s="4">
        <v>2732.37</v>
      </c>
      <c r="T978" s="5">
        <v>67.85</v>
      </c>
      <c r="U978" s="5">
        <v>135.7</v>
      </c>
      <c r="V978" s="5">
        <v>82.39</v>
      </c>
      <c r="W978" s="5">
        <v>164.78</v>
      </c>
      <c r="X978" s="4">
        <v>5464.74</v>
      </c>
      <c r="Y978">
        <v>2280</v>
      </c>
      <c r="Z978">
        <v>1480</v>
      </c>
      <c r="AA978">
        <v>450</v>
      </c>
      <c r="AB978" s="1">
        <v>1.52</v>
      </c>
    </row>
    <row r="979" customHeight="1" spans="2:28">
      <c r="B979" s="6" t="str">
        <f t="shared" si="15"/>
        <v>43115-DT1EJ20250101-A-TIIU6451860-PARTS</v>
      </c>
      <c r="C979" s="29" t="s">
        <v>80</v>
      </c>
      <c r="D979" s="30" t="s">
        <v>81</v>
      </c>
      <c r="E979" s="30" t="s">
        <v>692</v>
      </c>
      <c r="F979" s="30" t="s">
        <v>693</v>
      </c>
      <c r="G979" s="31" t="s">
        <v>84</v>
      </c>
      <c r="H979" s="31"/>
      <c r="I979" s="31" t="s">
        <v>85</v>
      </c>
      <c r="J979" s="31" t="s">
        <v>695</v>
      </c>
      <c r="K979" s="31" t="s">
        <v>664</v>
      </c>
      <c r="L979" s="31">
        <v>8708923509</v>
      </c>
      <c r="M979" s="32" t="s">
        <v>665</v>
      </c>
      <c r="N979" s="33" t="s">
        <v>666</v>
      </c>
      <c r="O979" s="31">
        <v>2</v>
      </c>
      <c r="P979" s="34">
        <v>767.68</v>
      </c>
      <c r="Q979" s="34">
        <v>123.06</v>
      </c>
      <c r="R979" s="34">
        <v>3.54</v>
      </c>
      <c r="S979" s="34">
        <v>830.98</v>
      </c>
      <c r="T979" s="35">
        <v>16.15</v>
      </c>
      <c r="U979" s="35">
        <v>32.3</v>
      </c>
      <c r="V979" s="35">
        <v>19.61</v>
      </c>
      <c r="W979" s="35">
        <v>39.22</v>
      </c>
      <c r="X979" s="34">
        <v>1661.96</v>
      </c>
      <c r="Y979" s="31"/>
      <c r="Z979" s="31"/>
      <c r="AA979" s="31"/>
      <c r="AB979" s="31"/>
    </row>
    <row r="980" spans="2:28">
      <c r="B980" s="6" t="str">
        <f t="shared" si="15"/>
        <v>43115-DT1EJ20250101-A-TIIU6451897-PARTS</v>
      </c>
      <c r="C980" t="s">
        <v>80</v>
      </c>
      <c r="D980" t="s">
        <v>81</v>
      </c>
      <c r="E980" t="s">
        <v>696</v>
      </c>
      <c r="F980" t="s">
        <v>697</v>
      </c>
      <c r="G980" s="1" t="s">
        <v>84</v>
      </c>
      <c r="I980" s="1" t="s">
        <v>85</v>
      </c>
      <c r="J980" s="1" t="s">
        <v>698</v>
      </c>
      <c r="K980" s="1" t="s">
        <v>661</v>
      </c>
      <c r="L980">
        <v>8708809909</v>
      </c>
      <c r="M980" s="2" t="s">
        <v>662</v>
      </c>
      <c r="N980" s="3" t="s">
        <v>663</v>
      </c>
      <c r="O980" s="1">
        <v>2</v>
      </c>
      <c r="P980" s="4">
        <v>2524.35</v>
      </c>
      <c r="Q980" s="4">
        <v>404.4</v>
      </c>
      <c r="R980" s="4">
        <v>11.64</v>
      </c>
      <c r="S980" s="4">
        <v>2732.37</v>
      </c>
      <c r="T980" s="5">
        <v>67.85</v>
      </c>
      <c r="U980" s="5">
        <v>135.7</v>
      </c>
      <c r="V980" s="5">
        <v>82.39</v>
      </c>
      <c r="W980" s="5">
        <v>164.78</v>
      </c>
      <c r="X980" s="4">
        <v>5464.74</v>
      </c>
      <c r="Y980">
        <v>2280</v>
      </c>
      <c r="Z980">
        <v>1480</v>
      </c>
      <c r="AA980">
        <v>450</v>
      </c>
      <c r="AB980" s="1">
        <v>1.52</v>
      </c>
    </row>
    <row r="981" spans="2:28">
      <c r="B981" s="6" t="str">
        <f t="shared" si="15"/>
        <v>43115-DT1EJ20250101-A-TIIU6451897-PARTS</v>
      </c>
      <c r="C981" t="s">
        <v>80</v>
      </c>
      <c r="D981" t="s">
        <v>81</v>
      </c>
      <c r="E981" t="s">
        <v>696</v>
      </c>
      <c r="F981" t="s">
        <v>697</v>
      </c>
      <c r="G981" s="1" t="s">
        <v>84</v>
      </c>
      <c r="I981" s="1" t="s">
        <v>85</v>
      </c>
      <c r="J981" s="1" t="s">
        <v>698</v>
      </c>
      <c r="K981" s="1" t="s">
        <v>664</v>
      </c>
      <c r="L981">
        <v>8708923509</v>
      </c>
      <c r="M981" s="2" t="s">
        <v>665</v>
      </c>
      <c r="N981" s="3" t="s">
        <v>666</v>
      </c>
      <c r="O981" s="1">
        <v>2</v>
      </c>
      <c r="P981" s="4">
        <v>767.68</v>
      </c>
      <c r="Q981" s="4">
        <v>123.06</v>
      </c>
      <c r="R981" s="4">
        <v>3.54</v>
      </c>
      <c r="S981" s="4">
        <v>830.98</v>
      </c>
      <c r="T981" s="5">
        <v>16.15</v>
      </c>
      <c r="U981" s="5">
        <v>32.3</v>
      </c>
      <c r="V981" s="5">
        <v>19.61</v>
      </c>
      <c r="W981" s="5">
        <v>39.22</v>
      </c>
      <c r="X981" s="4">
        <v>1661.96</v>
      </c>
    </row>
    <row r="982" spans="2:28">
      <c r="B982" s="6" t="str">
        <f t="shared" si="15"/>
        <v>43115-DT1EJ20250101-A-TIIU6451897-PARTS</v>
      </c>
      <c r="C982" t="s">
        <v>80</v>
      </c>
      <c r="D982" t="s">
        <v>81</v>
      </c>
      <c r="E982" t="s">
        <v>696</v>
      </c>
      <c r="F982" t="s">
        <v>697</v>
      </c>
      <c r="G982" s="1" t="s">
        <v>84</v>
      </c>
      <c r="I982" s="1" t="s">
        <v>85</v>
      </c>
      <c r="J982" s="1" t="s">
        <v>699</v>
      </c>
      <c r="K982" s="1" t="s">
        <v>661</v>
      </c>
      <c r="L982">
        <v>8708809909</v>
      </c>
      <c r="M982" s="2" t="s">
        <v>662</v>
      </c>
      <c r="N982" s="3" t="s">
        <v>663</v>
      </c>
      <c r="O982" s="1">
        <v>2</v>
      </c>
      <c r="P982" s="4">
        <v>2524.35</v>
      </c>
      <c r="Q982" s="4">
        <v>404.4</v>
      </c>
      <c r="R982" s="4">
        <v>11.64</v>
      </c>
      <c r="S982" s="4">
        <v>2732.37</v>
      </c>
      <c r="T982" s="5">
        <v>67.85</v>
      </c>
      <c r="U982" s="5">
        <v>135.7</v>
      </c>
      <c r="V982" s="5">
        <v>82.39</v>
      </c>
      <c r="W982" s="5">
        <v>164.78</v>
      </c>
      <c r="X982" s="4">
        <v>5464.74</v>
      </c>
      <c r="Y982">
        <v>2280</v>
      </c>
      <c r="Z982">
        <v>1480</v>
      </c>
      <c r="AA982">
        <v>450</v>
      </c>
      <c r="AB982" s="1">
        <v>1.52</v>
      </c>
    </row>
    <row r="983" spans="2:28">
      <c r="B983" s="6" t="str">
        <f t="shared" si="15"/>
        <v>43115-DT1EJ20250101-A-TIIU6451897-PARTS</v>
      </c>
      <c r="C983" t="s">
        <v>80</v>
      </c>
      <c r="D983" t="s">
        <v>81</v>
      </c>
      <c r="E983" t="s">
        <v>696</v>
      </c>
      <c r="F983" t="s">
        <v>697</v>
      </c>
      <c r="G983" s="1" t="s">
        <v>84</v>
      </c>
      <c r="I983" s="1" t="s">
        <v>85</v>
      </c>
      <c r="J983" s="1" t="s">
        <v>699</v>
      </c>
      <c r="K983" s="1" t="s">
        <v>664</v>
      </c>
      <c r="L983">
        <v>8708923509</v>
      </c>
      <c r="M983" s="2" t="s">
        <v>665</v>
      </c>
      <c r="N983" s="3" t="s">
        <v>666</v>
      </c>
      <c r="O983" s="1">
        <v>2</v>
      </c>
      <c r="P983" s="4">
        <v>767.68</v>
      </c>
      <c r="Q983" s="4">
        <v>123.06</v>
      </c>
      <c r="R983" s="4">
        <v>3.54</v>
      </c>
      <c r="S983" s="4">
        <v>830.98</v>
      </c>
      <c r="T983" s="5">
        <v>16.15</v>
      </c>
      <c r="U983" s="5">
        <v>32.3</v>
      </c>
      <c r="V983" s="5">
        <v>19.61</v>
      </c>
      <c r="W983" s="5">
        <v>39.22</v>
      </c>
      <c r="X983" s="4">
        <v>1661.96</v>
      </c>
    </row>
    <row r="984" customHeight="1" spans="2:28">
      <c r="B984" s="6" t="str">
        <f t="shared" si="15"/>
        <v>43115-DT1EJ20250101-A-TIIU6453400-PARTS</v>
      </c>
      <c r="C984" s="29" t="s">
        <v>80</v>
      </c>
      <c r="D984" s="30" t="s">
        <v>81</v>
      </c>
      <c r="E984" s="30" t="s">
        <v>700</v>
      </c>
      <c r="F984" s="30" t="s">
        <v>701</v>
      </c>
      <c r="G984" s="31" t="s">
        <v>84</v>
      </c>
      <c r="H984" s="31"/>
      <c r="I984" s="31" t="s">
        <v>85</v>
      </c>
      <c r="J984" s="31" t="s">
        <v>702</v>
      </c>
      <c r="K984" s="31" t="s">
        <v>661</v>
      </c>
      <c r="L984" s="31">
        <v>8708809909</v>
      </c>
      <c r="M984" s="32" t="s">
        <v>662</v>
      </c>
      <c r="N984" s="33" t="s">
        <v>663</v>
      </c>
      <c r="O984" s="31">
        <v>2</v>
      </c>
      <c r="P984" s="34">
        <v>2524.35</v>
      </c>
      <c r="Q984" s="34">
        <v>404.4</v>
      </c>
      <c r="R984" s="34">
        <v>11.64</v>
      </c>
      <c r="S984" s="34">
        <v>2732.37</v>
      </c>
      <c r="T984" s="35">
        <v>67.85</v>
      </c>
      <c r="U984" s="35">
        <v>135.7</v>
      </c>
      <c r="V984" s="35">
        <v>82.39</v>
      </c>
      <c r="W984" s="35">
        <v>164.78</v>
      </c>
      <c r="X984" s="34">
        <v>5464.74</v>
      </c>
      <c r="Y984" s="31">
        <v>2280</v>
      </c>
      <c r="Z984" s="31">
        <v>1480</v>
      </c>
      <c r="AA984" s="31">
        <v>450</v>
      </c>
      <c r="AB984" s="31">
        <v>1.52</v>
      </c>
    </row>
    <row r="985" customHeight="1" spans="2:28">
      <c r="B985" s="6" t="str">
        <f t="shared" si="15"/>
        <v>43115-DT1EJ20250101-A-TIIU6453400-PARTS</v>
      </c>
      <c r="C985" s="29" t="s">
        <v>80</v>
      </c>
      <c r="D985" s="30" t="s">
        <v>81</v>
      </c>
      <c r="E985" s="30" t="s">
        <v>700</v>
      </c>
      <c r="F985" s="30" t="s">
        <v>701</v>
      </c>
      <c r="G985" s="31" t="s">
        <v>84</v>
      </c>
      <c r="H985" s="31"/>
      <c r="I985" s="31" t="s">
        <v>85</v>
      </c>
      <c r="J985" s="31" t="s">
        <v>702</v>
      </c>
      <c r="K985" s="31" t="s">
        <v>664</v>
      </c>
      <c r="L985" s="31">
        <v>8708923509</v>
      </c>
      <c r="M985" s="32" t="s">
        <v>665</v>
      </c>
      <c r="N985" s="33" t="s">
        <v>666</v>
      </c>
      <c r="O985" s="31">
        <v>2</v>
      </c>
      <c r="P985" s="34">
        <v>767.68</v>
      </c>
      <c r="Q985" s="34">
        <v>123.06</v>
      </c>
      <c r="R985" s="34">
        <v>3.54</v>
      </c>
      <c r="S985" s="34">
        <v>830.98</v>
      </c>
      <c r="T985" s="35">
        <v>16.15</v>
      </c>
      <c r="U985" s="35">
        <v>32.3</v>
      </c>
      <c r="V985" s="35">
        <v>19.61</v>
      </c>
      <c r="W985" s="35">
        <v>39.22</v>
      </c>
      <c r="X985" s="34">
        <v>1661.96</v>
      </c>
      <c r="Y985" s="31"/>
      <c r="Z985" s="31"/>
      <c r="AA985" s="31"/>
      <c r="AB985" s="31"/>
    </row>
    <row r="986" customHeight="1" spans="2:28">
      <c r="B986" s="6" t="str">
        <f t="shared" si="15"/>
        <v>43115-DT1EJ20250101-A-TIIU6453400-PARTS</v>
      </c>
      <c r="C986" s="29" t="s">
        <v>80</v>
      </c>
      <c r="D986" s="30" t="s">
        <v>81</v>
      </c>
      <c r="E986" s="30" t="s">
        <v>700</v>
      </c>
      <c r="F986" s="30" t="s">
        <v>701</v>
      </c>
      <c r="G986" s="31" t="s">
        <v>84</v>
      </c>
      <c r="H986" s="31"/>
      <c r="I986" s="31" t="s">
        <v>85</v>
      </c>
      <c r="J986" s="31" t="s">
        <v>703</v>
      </c>
      <c r="K986" s="31" t="s">
        <v>661</v>
      </c>
      <c r="L986" s="31">
        <v>8708809909</v>
      </c>
      <c r="M986" s="32" t="s">
        <v>662</v>
      </c>
      <c r="N986" s="33" t="s">
        <v>663</v>
      </c>
      <c r="O986" s="31">
        <v>2</v>
      </c>
      <c r="P986" s="34">
        <v>2524.35</v>
      </c>
      <c r="Q986" s="34">
        <v>404.4</v>
      </c>
      <c r="R986" s="34">
        <v>11.64</v>
      </c>
      <c r="S986" s="34">
        <v>2732.37</v>
      </c>
      <c r="T986" s="35">
        <v>67.85</v>
      </c>
      <c r="U986" s="35">
        <v>135.7</v>
      </c>
      <c r="V986" s="35">
        <v>82.39</v>
      </c>
      <c r="W986" s="35">
        <v>164.78</v>
      </c>
      <c r="X986" s="34">
        <v>5464.74</v>
      </c>
      <c r="Y986" s="31">
        <v>2280</v>
      </c>
      <c r="Z986" s="31">
        <v>1480</v>
      </c>
      <c r="AA986" s="31">
        <v>450</v>
      </c>
      <c r="AB986" s="31">
        <v>1.52</v>
      </c>
    </row>
    <row r="987" customHeight="1" spans="2:28">
      <c r="B987" s="6" t="str">
        <f t="shared" si="15"/>
        <v>43115-DT1EJ20250101-A-TIIU6453400-PARTS</v>
      </c>
      <c r="C987" s="29" t="s">
        <v>80</v>
      </c>
      <c r="D987" s="30" t="s">
        <v>81</v>
      </c>
      <c r="E987" s="30" t="s">
        <v>700</v>
      </c>
      <c r="F987" s="30" t="s">
        <v>701</v>
      </c>
      <c r="G987" s="31" t="s">
        <v>84</v>
      </c>
      <c r="H987" s="31"/>
      <c r="I987" s="31" t="s">
        <v>85</v>
      </c>
      <c r="J987" s="31" t="s">
        <v>703</v>
      </c>
      <c r="K987" s="31" t="s">
        <v>664</v>
      </c>
      <c r="L987" s="31">
        <v>8708923509</v>
      </c>
      <c r="M987" s="32" t="s">
        <v>665</v>
      </c>
      <c r="N987" s="33" t="s">
        <v>666</v>
      </c>
      <c r="O987" s="31">
        <v>2</v>
      </c>
      <c r="P987" s="34">
        <v>767.68</v>
      </c>
      <c r="Q987" s="34">
        <v>123.06</v>
      </c>
      <c r="R987" s="34">
        <v>3.54</v>
      </c>
      <c r="S987" s="34">
        <v>830.98</v>
      </c>
      <c r="T987" s="35">
        <v>16.15</v>
      </c>
      <c r="U987" s="35">
        <v>32.3</v>
      </c>
      <c r="V987" s="35">
        <v>19.61</v>
      </c>
      <c r="W987" s="35">
        <v>39.22</v>
      </c>
      <c r="X987" s="34">
        <v>1661.96</v>
      </c>
      <c r="Y987" s="31"/>
      <c r="Z987" s="31"/>
      <c r="AA987" s="31"/>
      <c r="AB987" s="31"/>
    </row>
    <row r="988" customHeight="1" spans="2:28">
      <c r="B988" s="6" t="str">
        <f t="shared" si="15"/>
        <v>43115-DT1EJ20250101-A-TIIU6453544-PARTS</v>
      </c>
      <c r="C988" s="29" t="s">
        <v>80</v>
      </c>
      <c r="D988" s="30" t="s">
        <v>81</v>
      </c>
      <c r="E988" s="30" t="s">
        <v>704</v>
      </c>
      <c r="F988" s="30" t="s">
        <v>705</v>
      </c>
      <c r="G988" s="31" t="s">
        <v>84</v>
      </c>
      <c r="H988" s="31"/>
      <c r="I988" s="31" t="s">
        <v>85</v>
      </c>
      <c r="J988" s="31" t="s">
        <v>706</v>
      </c>
      <c r="K988" s="31" t="s">
        <v>661</v>
      </c>
      <c r="L988" s="31">
        <v>8708809909</v>
      </c>
      <c r="M988" s="32" t="s">
        <v>662</v>
      </c>
      <c r="N988" s="33" t="s">
        <v>663</v>
      </c>
      <c r="O988" s="31">
        <v>2</v>
      </c>
      <c r="P988" s="34">
        <v>2524.35</v>
      </c>
      <c r="Q988" s="34">
        <v>404.4</v>
      </c>
      <c r="R988" s="34">
        <v>11.64</v>
      </c>
      <c r="S988" s="34">
        <v>2732.37</v>
      </c>
      <c r="T988" s="35">
        <v>67.85</v>
      </c>
      <c r="U988" s="35">
        <v>135.7</v>
      </c>
      <c r="V988" s="35">
        <v>82.39</v>
      </c>
      <c r="W988" s="35">
        <v>164.78</v>
      </c>
      <c r="X988" s="34">
        <v>5464.74</v>
      </c>
      <c r="Y988" s="31">
        <v>2280</v>
      </c>
      <c r="Z988" s="31">
        <v>1480</v>
      </c>
      <c r="AA988" s="31">
        <v>450</v>
      </c>
      <c r="AB988" s="31">
        <v>1.52</v>
      </c>
    </row>
    <row r="989" customHeight="1" spans="2:28">
      <c r="B989" s="6" t="str">
        <f t="shared" si="15"/>
        <v>43115-DT1EJ20250101-A-TIIU6453544-PARTS</v>
      </c>
      <c r="C989" s="29" t="s">
        <v>80</v>
      </c>
      <c r="D989" s="30" t="s">
        <v>81</v>
      </c>
      <c r="E989" s="30" t="s">
        <v>704</v>
      </c>
      <c r="F989" s="30" t="s">
        <v>705</v>
      </c>
      <c r="G989" s="31" t="s">
        <v>84</v>
      </c>
      <c r="H989" s="31"/>
      <c r="I989" s="31" t="s">
        <v>85</v>
      </c>
      <c r="J989" s="31" t="s">
        <v>706</v>
      </c>
      <c r="K989" s="31" t="s">
        <v>664</v>
      </c>
      <c r="L989" s="31">
        <v>8708923509</v>
      </c>
      <c r="M989" s="32" t="s">
        <v>665</v>
      </c>
      <c r="N989" s="33" t="s">
        <v>666</v>
      </c>
      <c r="O989" s="31">
        <v>2</v>
      </c>
      <c r="P989" s="34">
        <v>767.68</v>
      </c>
      <c r="Q989" s="34">
        <v>123.06</v>
      </c>
      <c r="R989" s="34">
        <v>3.54</v>
      </c>
      <c r="S989" s="34">
        <v>830.98</v>
      </c>
      <c r="T989" s="35">
        <v>16.15</v>
      </c>
      <c r="U989" s="35">
        <v>32.3</v>
      </c>
      <c r="V989" s="35">
        <v>19.61</v>
      </c>
      <c r="W989" s="35">
        <v>39.22</v>
      </c>
      <c r="X989" s="34">
        <v>1661.96</v>
      </c>
      <c r="Y989" s="31"/>
      <c r="Z989" s="31"/>
      <c r="AA989" s="31"/>
      <c r="AB989" s="31"/>
    </row>
    <row r="990" customHeight="1" spans="2:28">
      <c r="B990" s="6" t="str">
        <f t="shared" si="15"/>
        <v>43115-DT1EJ20250101-A-TIIU6453544-PARTS</v>
      </c>
      <c r="C990" s="29" t="s">
        <v>80</v>
      </c>
      <c r="D990" s="30" t="s">
        <v>81</v>
      </c>
      <c r="E990" s="30" t="s">
        <v>704</v>
      </c>
      <c r="F990" s="30" t="s">
        <v>705</v>
      </c>
      <c r="G990" s="31" t="s">
        <v>84</v>
      </c>
      <c r="H990" s="31"/>
      <c r="I990" s="31" t="s">
        <v>85</v>
      </c>
      <c r="J990" s="31" t="s">
        <v>707</v>
      </c>
      <c r="K990" s="31" t="s">
        <v>661</v>
      </c>
      <c r="L990" s="31">
        <v>8708809909</v>
      </c>
      <c r="M990" s="32" t="s">
        <v>662</v>
      </c>
      <c r="N990" s="33" t="s">
        <v>663</v>
      </c>
      <c r="O990" s="31">
        <v>2</v>
      </c>
      <c r="P990" s="34">
        <v>2524.35</v>
      </c>
      <c r="Q990" s="34">
        <v>404.4</v>
      </c>
      <c r="R990" s="34">
        <v>11.64</v>
      </c>
      <c r="S990" s="34">
        <v>2732.37</v>
      </c>
      <c r="T990" s="35">
        <v>67.85</v>
      </c>
      <c r="U990" s="35">
        <v>135.7</v>
      </c>
      <c r="V990" s="35">
        <v>82.39</v>
      </c>
      <c r="W990" s="35">
        <v>164.78</v>
      </c>
      <c r="X990" s="34">
        <v>5464.74</v>
      </c>
      <c r="Y990" s="31">
        <v>2280</v>
      </c>
      <c r="Z990" s="31">
        <v>1480</v>
      </c>
      <c r="AA990" s="31">
        <v>450</v>
      </c>
      <c r="AB990" s="31">
        <v>1.52</v>
      </c>
    </row>
    <row r="991" customHeight="1" spans="2:28">
      <c r="B991" s="6" t="str">
        <f t="shared" si="15"/>
        <v>43115-DT1EJ20250101-A-TIIU6453544-PARTS</v>
      </c>
      <c r="C991" s="29" t="s">
        <v>80</v>
      </c>
      <c r="D991" s="30" t="s">
        <v>81</v>
      </c>
      <c r="E991" s="30" t="s">
        <v>704</v>
      </c>
      <c r="F991" s="30" t="s">
        <v>705</v>
      </c>
      <c r="G991" s="31" t="s">
        <v>84</v>
      </c>
      <c r="H991" s="31"/>
      <c r="I991" s="31" t="s">
        <v>85</v>
      </c>
      <c r="J991" s="31" t="s">
        <v>707</v>
      </c>
      <c r="K991" s="31" t="s">
        <v>664</v>
      </c>
      <c r="L991" s="31">
        <v>8708923509</v>
      </c>
      <c r="M991" s="32" t="s">
        <v>665</v>
      </c>
      <c r="N991" s="33" t="s">
        <v>666</v>
      </c>
      <c r="O991" s="31">
        <v>2</v>
      </c>
      <c r="P991" s="34">
        <v>767.68</v>
      </c>
      <c r="Q991" s="34">
        <v>123.06</v>
      </c>
      <c r="R991" s="34">
        <v>3.54</v>
      </c>
      <c r="S991" s="34">
        <v>830.98</v>
      </c>
      <c r="T991" s="35">
        <v>16.15</v>
      </c>
      <c r="U991" s="35">
        <v>32.3</v>
      </c>
      <c r="V991" s="35">
        <v>19.61</v>
      </c>
      <c r="W991" s="35">
        <v>39.22</v>
      </c>
      <c r="X991" s="34">
        <v>1661.96</v>
      </c>
      <c r="Y991" s="31"/>
      <c r="Z991" s="31"/>
      <c r="AA991" s="31"/>
      <c r="AB991" s="31"/>
    </row>
    <row r="992" spans="2:28">
      <c r="B992" s="6" t="str">
        <f t="shared" si="15"/>
        <v>43115-DT1EJ20250101-A-TIIU6453631-PARTS</v>
      </c>
      <c r="C992" t="s">
        <v>80</v>
      </c>
      <c r="D992" t="s">
        <v>81</v>
      </c>
      <c r="E992" t="s">
        <v>708</v>
      </c>
      <c r="F992" t="s">
        <v>709</v>
      </c>
      <c r="G992" s="1" t="s">
        <v>84</v>
      </c>
      <c r="I992" s="1" t="s">
        <v>85</v>
      </c>
      <c r="J992" s="1" t="s">
        <v>710</v>
      </c>
      <c r="K992" s="1" t="s">
        <v>661</v>
      </c>
      <c r="L992">
        <v>8708809909</v>
      </c>
      <c r="M992" s="2" t="s">
        <v>662</v>
      </c>
      <c r="N992" s="3" t="s">
        <v>663</v>
      </c>
      <c r="O992" s="1">
        <v>2</v>
      </c>
      <c r="P992" s="4">
        <v>2524.35</v>
      </c>
      <c r="Q992" s="4">
        <v>404.4</v>
      </c>
      <c r="R992" s="4">
        <v>11.64</v>
      </c>
      <c r="S992" s="4">
        <v>2732.37</v>
      </c>
      <c r="T992" s="5">
        <v>67.85</v>
      </c>
      <c r="U992" s="5">
        <v>135.7</v>
      </c>
      <c r="V992" s="5">
        <v>82.39</v>
      </c>
      <c r="W992" s="5">
        <v>164.78</v>
      </c>
      <c r="X992" s="4">
        <v>5464.74</v>
      </c>
      <c r="Y992">
        <v>2280</v>
      </c>
      <c r="Z992">
        <v>1480</v>
      </c>
      <c r="AA992">
        <v>450</v>
      </c>
      <c r="AB992" s="1">
        <v>1.52</v>
      </c>
    </row>
    <row r="993" customHeight="1" spans="2:28">
      <c r="B993" s="6" t="str">
        <f t="shared" si="15"/>
        <v>43115-DT1EJ20250101-A-TIIU6453631-PARTS</v>
      </c>
      <c r="C993" t="s">
        <v>80</v>
      </c>
      <c r="D993" t="s">
        <v>81</v>
      </c>
      <c r="E993" t="s">
        <v>708</v>
      </c>
      <c r="F993" t="s">
        <v>709</v>
      </c>
      <c r="G993" s="1" t="s">
        <v>84</v>
      </c>
      <c r="I993" s="1" t="s">
        <v>85</v>
      </c>
      <c r="J993" s="1" t="s">
        <v>710</v>
      </c>
      <c r="K993" s="1" t="s">
        <v>664</v>
      </c>
      <c r="L993">
        <v>8708923509</v>
      </c>
      <c r="M993" s="2" t="s">
        <v>665</v>
      </c>
      <c r="N993" s="3" t="s">
        <v>666</v>
      </c>
      <c r="O993" s="1">
        <v>2</v>
      </c>
      <c r="P993" s="4">
        <v>767.68</v>
      </c>
      <c r="Q993" s="4">
        <v>123.06</v>
      </c>
      <c r="R993" s="4">
        <v>3.54</v>
      </c>
      <c r="S993" s="4">
        <v>830.98</v>
      </c>
      <c r="T993" s="5">
        <v>16.15</v>
      </c>
      <c r="U993" s="5">
        <v>32.3</v>
      </c>
      <c r="V993" s="5">
        <v>19.61</v>
      </c>
      <c r="W993" s="5">
        <v>39.22</v>
      </c>
      <c r="X993" s="4">
        <v>1661.96</v>
      </c>
    </row>
    <row r="994" customHeight="1" spans="2:28">
      <c r="B994" s="6" t="str">
        <f t="shared" si="15"/>
        <v>43115-DT1EJ20250101-A-TIIU6453631-PARTS</v>
      </c>
      <c r="C994" t="s">
        <v>80</v>
      </c>
      <c r="D994" t="s">
        <v>81</v>
      </c>
      <c r="E994" t="s">
        <v>708</v>
      </c>
      <c r="F994" t="s">
        <v>709</v>
      </c>
      <c r="G994" s="1" t="s">
        <v>84</v>
      </c>
      <c r="I994" s="1" t="s">
        <v>85</v>
      </c>
      <c r="J994" s="1" t="s">
        <v>711</v>
      </c>
      <c r="K994" s="1" t="s">
        <v>661</v>
      </c>
      <c r="L994">
        <v>8708809909</v>
      </c>
      <c r="M994" s="2" t="s">
        <v>662</v>
      </c>
      <c r="N994" s="3" t="s">
        <v>663</v>
      </c>
      <c r="O994" s="1">
        <v>2</v>
      </c>
      <c r="P994" s="4">
        <v>2524.35</v>
      </c>
      <c r="Q994" s="4">
        <v>404.4</v>
      </c>
      <c r="R994" s="4">
        <v>11.64</v>
      </c>
      <c r="S994" s="4">
        <v>2732.37</v>
      </c>
      <c r="T994" s="5">
        <v>67.85</v>
      </c>
      <c r="U994" s="5">
        <v>135.7</v>
      </c>
      <c r="V994" s="5">
        <v>82.39</v>
      </c>
      <c r="W994" s="5">
        <v>164.78</v>
      </c>
      <c r="X994" s="4">
        <v>5464.74</v>
      </c>
      <c r="Y994">
        <v>2280</v>
      </c>
      <c r="Z994">
        <v>1480</v>
      </c>
      <c r="AA994">
        <v>450</v>
      </c>
      <c r="AB994" s="1">
        <v>1.52</v>
      </c>
    </row>
    <row r="995" spans="2:28">
      <c r="B995" s="6" t="str">
        <f t="shared" si="15"/>
        <v>43115-DT1EJ20250101-A-TIIU6453631-PARTS</v>
      </c>
      <c r="C995" t="s">
        <v>80</v>
      </c>
      <c r="D995" t="s">
        <v>81</v>
      </c>
      <c r="E995" t="s">
        <v>708</v>
      </c>
      <c r="F995" t="s">
        <v>709</v>
      </c>
      <c r="G995" s="1" t="s">
        <v>84</v>
      </c>
      <c r="I995" s="1" t="s">
        <v>85</v>
      </c>
      <c r="J995" s="1" t="s">
        <v>711</v>
      </c>
      <c r="K995" s="1" t="s">
        <v>664</v>
      </c>
      <c r="L995">
        <v>8708923509</v>
      </c>
      <c r="M995" s="2" t="s">
        <v>665</v>
      </c>
      <c r="N995" s="3" t="s">
        <v>666</v>
      </c>
      <c r="O995" s="1">
        <v>2</v>
      </c>
      <c r="P995" s="4">
        <v>767.68</v>
      </c>
      <c r="Q995" s="4">
        <v>123.06</v>
      </c>
      <c r="R995" s="4">
        <v>3.54</v>
      </c>
      <c r="S995" s="4">
        <v>830.98</v>
      </c>
      <c r="T995" s="5">
        <v>16.15</v>
      </c>
      <c r="U995" s="5">
        <v>32.3</v>
      </c>
      <c r="V995" s="5">
        <v>19.61</v>
      </c>
      <c r="W995" s="5">
        <v>39.22</v>
      </c>
      <c r="X995" s="4">
        <v>1661.96</v>
      </c>
    </row>
    <row r="996" customHeight="1" spans="2:28">
      <c r="B996" s="6" t="str">
        <f t="shared" si="15"/>
        <v>43115-DT1EJ20250101-A-TIIU6453652-PARTS</v>
      </c>
      <c r="C996" t="s">
        <v>80</v>
      </c>
      <c r="D996" t="s">
        <v>81</v>
      </c>
      <c r="E996" t="s">
        <v>712</v>
      </c>
      <c r="F996" t="s">
        <v>713</v>
      </c>
      <c r="G996" s="1" t="s">
        <v>84</v>
      </c>
      <c r="I996" s="39" t="s">
        <v>85</v>
      </c>
      <c r="J996" s="1" t="s">
        <v>714</v>
      </c>
      <c r="K996" s="1" t="s">
        <v>661</v>
      </c>
      <c r="L996">
        <v>8708809909</v>
      </c>
      <c r="M996" s="2" t="s">
        <v>662</v>
      </c>
      <c r="N996" s="3" t="s">
        <v>663</v>
      </c>
      <c r="O996" s="1">
        <v>2</v>
      </c>
      <c r="P996" s="4">
        <v>2524.35</v>
      </c>
      <c r="Q996" s="4">
        <v>404.4</v>
      </c>
      <c r="R996" s="4">
        <v>11.64</v>
      </c>
      <c r="S996" s="4">
        <v>2732.37</v>
      </c>
      <c r="T996" s="5">
        <v>67.85</v>
      </c>
      <c r="U996" s="5">
        <v>135.7</v>
      </c>
      <c r="V996" s="5">
        <v>82.39</v>
      </c>
      <c r="W996" s="5">
        <v>164.78</v>
      </c>
      <c r="X996" s="4">
        <v>5464.74</v>
      </c>
      <c r="Y996">
        <v>2280</v>
      </c>
      <c r="Z996">
        <v>1480</v>
      </c>
      <c r="AA996">
        <v>450</v>
      </c>
      <c r="AB996" s="1">
        <v>1.52</v>
      </c>
    </row>
    <row r="997" customHeight="1" spans="2:28">
      <c r="B997" s="6" t="str">
        <f t="shared" si="15"/>
        <v>43115-DT1EJ20250101-A-TIIU6453652-PARTS</v>
      </c>
      <c r="C997" t="s">
        <v>80</v>
      </c>
      <c r="D997" t="s">
        <v>81</v>
      </c>
      <c r="E997" t="s">
        <v>712</v>
      </c>
      <c r="F997" t="s">
        <v>713</v>
      </c>
      <c r="G997" s="1" t="s">
        <v>84</v>
      </c>
      <c r="I997" s="1" t="s">
        <v>85</v>
      </c>
      <c r="J997" s="1" t="s">
        <v>714</v>
      </c>
      <c r="K997" s="1" t="s">
        <v>664</v>
      </c>
      <c r="L997">
        <v>8708923509</v>
      </c>
      <c r="M997" s="2" t="s">
        <v>665</v>
      </c>
      <c r="N997" s="3" t="s">
        <v>666</v>
      </c>
      <c r="O997" s="1">
        <v>2</v>
      </c>
      <c r="P997" s="4">
        <v>767.68</v>
      </c>
      <c r="Q997" s="4">
        <v>123.06</v>
      </c>
      <c r="R997" s="4">
        <v>3.54</v>
      </c>
      <c r="S997" s="4">
        <v>830.98</v>
      </c>
      <c r="T997" s="5">
        <v>16.15</v>
      </c>
      <c r="U997" s="5">
        <v>32.3</v>
      </c>
      <c r="V997" s="5">
        <v>19.61</v>
      </c>
      <c r="W997" s="5">
        <v>39.22</v>
      </c>
      <c r="X997" s="4">
        <v>1661.96</v>
      </c>
    </row>
    <row r="998" spans="2:28">
      <c r="B998" s="6" t="str">
        <f t="shared" si="15"/>
        <v>43115-DT1EJ20250101-A-TIIU6453652-PARTS</v>
      </c>
      <c r="C998" t="s">
        <v>80</v>
      </c>
      <c r="D998" t="s">
        <v>81</v>
      </c>
      <c r="E998" t="s">
        <v>712</v>
      </c>
      <c r="F998" t="s">
        <v>713</v>
      </c>
      <c r="G998" s="1" t="s">
        <v>84</v>
      </c>
      <c r="I998" s="1" t="s">
        <v>85</v>
      </c>
      <c r="J998" s="1" t="s">
        <v>715</v>
      </c>
      <c r="K998" s="1" t="s">
        <v>661</v>
      </c>
      <c r="L998">
        <v>8708809909</v>
      </c>
      <c r="M998" s="2" t="s">
        <v>662</v>
      </c>
      <c r="N998" s="3" t="s">
        <v>663</v>
      </c>
      <c r="O998" s="1">
        <v>2</v>
      </c>
      <c r="P998" s="4">
        <v>2524.35</v>
      </c>
      <c r="Q998" s="4">
        <v>404.4</v>
      </c>
      <c r="R998" s="4">
        <v>11.64</v>
      </c>
      <c r="S998" s="4">
        <v>2732.37</v>
      </c>
      <c r="T998" s="5">
        <v>67.85</v>
      </c>
      <c r="U998" s="5">
        <v>135.7</v>
      </c>
      <c r="V998" s="5">
        <v>82.39</v>
      </c>
      <c r="W998" s="5">
        <v>164.78</v>
      </c>
      <c r="X998" s="4">
        <v>5464.74</v>
      </c>
      <c r="Y998">
        <v>2280</v>
      </c>
      <c r="Z998">
        <v>1480</v>
      </c>
      <c r="AA998">
        <v>450</v>
      </c>
      <c r="AB998" s="1">
        <v>1.52</v>
      </c>
    </row>
    <row r="999" spans="2:28">
      <c r="B999" s="6" t="str">
        <f t="shared" si="15"/>
        <v>43115-DT1EJ20250101-A-TIIU6453652-PARTS</v>
      </c>
      <c r="C999" t="s">
        <v>80</v>
      </c>
      <c r="D999" t="s">
        <v>81</v>
      </c>
      <c r="E999" t="s">
        <v>712</v>
      </c>
      <c r="F999" t="s">
        <v>713</v>
      </c>
      <c r="G999" s="1" t="s">
        <v>84</v>
      </c>
      <c r="I999" s="1" t="s">
        <v>85</v>
      </c>
      <c r="J999" s="1" t="s">
        <v>715</v>
      </c>
      <c r="K999" s="1" t="s">
        <v>664</v>
      </c>
      <c r="L999">
        <v>8708923509</v>
      </c>
      <c r="M999" s="2" t="s">
        <v>665</v>
      </c>
      <c r="N999" s="3" t="s">
        <v>666</v>
      </c>
      <c r="O999" s="1">
        <v>2</v>
      </c>
      <c r="P999" s="4">
        <v>767.68</v>
      </c>
      <c r="Q999" s="4">
        <v>123.06</v>
      </c>
      <c r="R999" s="4">
        <v>3.54</v>
      </c>
      <c r="S999" s="4">
        <v>830.98</v>
      </c>
      <c r="T999" s="5">
        <v>16.15</v>
      </c>
      <c r="U999" s="5">
        <v>32.3</v>
      </c>
      <c r="V999" s="5">
        <v>19.61</v>
      </c>
      <c r="W999" s="5">
        <v>39.22</v>
      </c>
      <c r="X999" s="4">
        <v>1661.96</v>
      </c>
    </row>
    <row r="1000" spans="2:28">
      <c r="B1000" s="6" t="str">
        <f t="shared" si="15"/>
        <v>43115-DT1EJ20250101-A-TIIU6453673-PARTS</v>
      </c>
      <c r="C1000" t="s">
        <v>80</v>
      </c>
      <c r="D1000" t="s">
        <v>81</v>
      </c>
      <c r="E1000" t="s">
        <v>716</v>
      </c>
      <c r="F1000" t="s">
        <v>717</v>
      </c>
      <c r="G1000" s="1" t="s">
        <v>84</v>
      </c>
      <c r="I1000" s="1" t="s">
        <v>85</v>
      </c>
      <c r="J1000" s="1" t="s">
        <v>718</v>
      </c>
      <c r="K1000" s="1" t="s">
        <v>661</v>
      </c>
      <c r="L1000">
        <v>8708809909</v>
      </c>
      <c r="M1000" s="2" t="s">
        <v>662</v>
      </c>
      <c r="N1000" s="3" t="s">
        <v>663</v>
      </c>
      <c r="O1000" s="1">
        <v>2</v>
      </c>
      <c r="P1000" s="4">
        <v>2524.35</v>
      </c>
      <c r="Q1000" s="4">
        <v>404.4</v>
      </c>
      <c r="R1000" s="4">
        <v>11.64</v>
      </c>
      <c r="S1000" s="4">
        <v>2732.37</v>
      </c>
      <c r="T1000" s="5">
        <v>67.85</v>
      </c>
      <c r="U1000" s="5">
        <v>135.7</v>
      </c>
      <c r="V1000" s="5">
        <v>82.39</v>
      </c>
      <c r="W1000" s="5">
        <v>164.78</v>
      </c>
      <c r="X1000" s="4">
        <v>5464.74</v>
      </c>
      <c r="Y1000">
        <v>2280</v>
      </c>
      <c r="Z1000">
        <v>1480</v>
      </c>
      <c r="AA1000">
        <v>450</v>
      </c>
      <c r="AB1000" s="1">
        <v>1.52</v>
      </c>
    </row>
    <row r="1001" spans="2:28">
      <c r="B1001" s="6" t="str">
        <f t="shared" si="15"/>
        <v>43115-DT1EJ20250101-A-TIIU6453673-PARTS</v>
      </c>
      <c r="C1001" t="s">
        <v>80</v>
      </c>
      <c r="D1001" t="s">
        <v>81</v>
      </c>
      <c r="E1001" t="s">
        <v>716</v>
      </c>
      <c r="F1001" t="s">
        <v>717</v>
      </c>
      <c r="G1001" s="1" t="s">
        <v>84</v>
      </c>
      <c r="I1001" s="1" t="s">
        <v>85</v>
      </c>
      <c r="J1001" s="1" t="s">
        <v>718</v>
      </c>
      <c r="K1001" s="1" t="s">
        <v>664</v>
      </c>
      <c r="L1001">
        <v>8708923509</v>
      </c>
      <c r="M1001" s="2" t="s">
        <v>665</v>
      </c>
      <c r="N1001" s="3" t="s">
        <v>666</v>
      </c>
      <c r="O1001" s="1">
        <v>2</v>
      </c>
      <c r="P1001" s="4">
        <v>767.68</v>
      </c>
      <c r="Q1001" s="4">
        <v>123.06</v>
      </c>
      <c r="R1001" s="4">
        <v>3.54</v>
      </c>
      <c r="S1001" s="4">
        <v>830.98</v>
      </c>
      <c r="T1001" s="5">
        <v>16.15</v>
      </c>
      <c r="U1001" s="5">
        <v>32.3</v>
      </c>
      <c r="V1001" s="5">
        <v>19.61</v>
      </c>
      <c r="W1001" s="5">
        <v>39.22</v>
      </c>
      <c r="X1001" s="4">
        <v>1661.96</v>
      </c>
    </row>
    <row r="1002" spans="2:28">
      <c r="B1002" s="6" t="str">
        <f t="shared" si="15"/>
        <v>43115-DT1EJ20250101-A-TIIU6453673-PARTS</v>
      </c>
      <c r="C1002" t="s">
        <v>80</v>
      </c>
      <c r="D1002" t="s">
        <v>81</v>
      </c>
      <c r="E1002" t="s">
        <v>716</v>
      </c>
      <c r="F1002" t="s">
        <v>717</v>
      </c>
      <c r="G1002" s="1" t="s">
        <v>84</v>
      </c>
      <c r="I1002" s="1" t="s">
        <v>85</v>
      </c>
      <c r="J1002" s="1" t="s">
        <v>719</v>
      </c>
      <c r="K1002" s="1" t="s">
        <v>661</v>
      </c>
      <c r="L1002">
        <v>8708809909</v>
      </c>
      <c r="M1002" s="2" t="s">
        <v>662</v>
      </c>
      <c r="N1002" s="3" t="s">
        <v>663</v>
      </c>
      <c r="O1002" s="1">
        <v>2</v>
      </c>
      <c r="P1002" s="4">
        <v>2524.35</v>
      </c>
      <c r="Q1002" s="4">
        <v>404.4</v>
      </c>
      <c r="R1002" s="4">
        <v>11.64</v>
      </c>
      <c r="S1002" s="4">
        <v>2732.37</v>
      </c>
      <c r="T1002" s="5">
        <v>67.85</v>
      </c>
      <c r="U1002" s="5">
        <v>135.7</v>
      </c>
      <c r="V1002" s="5">
        <v>82.39</v>
      </c>
      <c r="W1002" s="5">
        <v>164.78</v>
      </c>
      <c r="X1002" s="4">
        <v>5464.74</v>
      </c>
      <c r="Y1002">
        <v>2280</v>
      </c>
      <c r="Z1002">
        <v>1480</v>
      </c>
      <c r="AA1002">
        <v>450</v>
      </c>
      <c r="AB1002" s="1">
        <v>1.52</v>
      </c>
    </row>
    <row r="1003" customHeight="1" spans="2:28">
      <c r="B1003" s="6" t="str">
        <f t="shared" si="15"/>
        <v>43115-DT1EJ20250101-A-TIIU6453673-PARTS</v>
      </c>
      <c r="C1003" t="s">
        <v>80</v>
      </c>
      <c r="D1003" t="s">
        <v>81</v>
      </c>
      <c r="E1003" t="s">
        <v>716</v>
      </c>
      <c r="F1003" t="s">
        <v>717</v>
      </c>
      <c r="G1003" s="1" t="s">
        <v>84</v>
      </c>
      <c r="I1003" s="1" t="s">
        <v>85</v>
      </c>
      <c r="J1003" s="1" t="s">
        <v>719</v>
      </c>
      <c r="K1003" s="1" t="s">
        <v>664</v>
      </c>
      <c r="L1003">
        <v>8708923509</v>
      </c>
      <c r="M1003" s="2" t="s">
        <v>665</v>
      </c>
      <c r="N1003" s="3" t="s">
        <v>666</v>
      </c>
      <c r="O1003" s="1">
        <v>2</v>
      </c>
      <c r="P1003" s="4">
        <v>767.68</v>
      </c>
      <c r="Q1003" s="4">
        <v>123.06</v>
      </c>
      <c r="R1003" s="4">
        <v>3.54</v>
      </c>
      <c r="S1003" s="4">
        <v>830.98</v>
      </c>
      <c r="T1003" s="5">
        <v>16.15</v>
      </c>
      <c r="U1003" s="5">
        <v>32.3</v>
      </c>
      <c r="V1003" s="5">
        <v>19.61</v>
      </c>
      <c r="W1003" s="5">
        <v>39.22</v>
      </c>
      <c r="X1003" s="4">
        <v>1661.96</v>
      </c>
    </row>
    <row r="1004" customHeight="1" spans="2:28">
      <c r="B1004" s="6" t="str">
        <f t="shared" si="15"/>
        <v>43115-DT1EJ20250101-A-TIIU6453760-PARTS</v>
      </c>
      <c r="C1004" t="s">
        <v>80</v>
      </c>
      <c r="D1004" t="s">
        <v>81</v>
      </c>
      <c r="E1004" t="s">
        <v>720</v>
      </c>
      <c r="F1004" t="s">
        <v>721</v>
      </c>
      <c r="G1004" s="1" t="s">
        <v>84</v>
      </c>
      <c r="I1004" s="1" t="s">
        <v>85</v>
      </c>
      <c r="J1004" s="1" t="s">
        <v>722</v>
      </c>
      <c r="K1004" s="1" t="s">
        <v>661</v>
      </c>
      <c r="L1004">
        <v>8708809909</v>
      </c>
      <c r="M1004" s="2" t="s">
        <v>662</v>
      </c>
      <c r="N1004" s="3" t="s">
        <v>663</v>
      </c>
      <c r="O1004" s="1">
        <v>2</v>
      </c>
      <c r="P1004" s="4">
        <v>2524.35</v>
      </c>
      <c r="Q1004" s="4">
        <v>404.4</v>
      </c>
      <c r="R1004" s="4">
        <v>11.64</v>
      </c>
      <c r="S1004" s="4">
        <v>2732.37</v>
      </c>
      <c r="T1004" s="5">
        <v>67.85</v>
      </c>
      <c r="U1004" s="5">
        <v>135.7</v>
      </c>
      <c r="V1004" s="5">
        <v>82.39</v>
      </c>
      <c r="W1004" s="5">
        <v>164.78</v>
      </c>
      <c r="X1004" s="4">
        <v>5464.74</v>
      </c>
      <c r="Y1004">
        <v>2280</v>
      </c>
      <c r="Z1004">
        <v>1480</v>
      </c>
      <c r="AA1004">
        <v>450</v>
      </c>
      <c r="AB1004" s="1">
        <v>1.52</v>
      </c>
    </row>
    <row r="1005" customHeight="1" spans="2:28">
      <c r="B1005" s="6" t="str">
        <f t="shared" si="15"/>
        <v>43115-DT1EJ20250101-A-TIIU6453760-PARTS</v>
      </c>
      <c r="C1005" t="s">
        <v>80</v>
      </c>
      <c r="D1005" t="s">
        <v>81</v>
      </c>
      <c r="E1005" t="s">
        <v>720</v>
      </c>
      <c r="F1005" t="s">
        <v>721</v>
      </c>
      <c r="G1005" s="1" t="s">
        <v>84</v>
      </c>
      <c r="I1005" s="1" t="s">
        <v>85</v>
      </c>
      <c r="J1005" s="1" t="s">
        <v>722</v>
      </c>
      <c r="K1005" s="1" t="s">
        <v>664</v>
      </c>
      <c r="L1005">
        <v>8708923509</v>
      </c>
      <c r="M1005" s="2" t="s">
        <v>665</v>
      </c>
      <c r="N1005" s="3" t="s">
        <v>666</v>
      </c>
      <c r="O1005" s="1">
        <v>2</v>
      </c>
      <c r="P1005" s="4">
        <v>767.68</v>
      </c>
      <c r="Q1005" s="4">
        <v>123.06</v>
      </c>
      <c r="R1005" s="4">
        <v>3.54</v>
      </c>
      <c r="S1005" s="4">
        <v>830.98</v>
      </c>
      <c r="T1005" s="5">
        <v>16.15</v>
      </c>
      <c r="U1005" s="5">
        <v>32.3</v>
      </c>
      <c r="V1005" s="5">
        <v>19.61</v>
      </c>
      <c r="W1005" s="5">
        <v>39.22</v>
      </c>
      <c r="X1005" s="4">
        <v>1661.96</v>
      </c>
    </row>
    <row r="1006" customHeight="1" spans="2:28">
      <c r="B1006" s="6" t="str">
        <f t="shared" si="15"/>
        <v>43115-DT1EJ20250101-A-TIIU6453760-PARTS</v>
      </c>
      <c r="C1006" s="29" t="s">
        <v>80</v>
      </c>
      <c r="D1006" s="30" t="s">
        <v>81</v>
      </c>
      <c r="E1006" s="30" t="s">
        <v>720</v>
      </c>
      <c r="F1006" s="30" t="s">
        <v>721</v>
      </c>
      <c r="G1006" s="31" t="s">
        <v>84</v>
      </c>
      <c r="H1006" s="31"/>
      <c r="I1006" s="31" t="s">
        <v>85</v>
      </c>
      <c r="J1006" s="31" t="s">
        <v>723</v>
      </c>
      <c r="K1006" s="31" t="s">
        <v>661</v>
      </c>
      <c r="L1006" s="31">
        <v>8708809909</v>
      </c>
      <c r="M1006" s="32" t="s">
        <v>662</v>
      </c>
      <c r="N1006" s="33" t="s">
        <v>663</v>
      </c>
      <c r="O1006" s="31">
        <v>2</v>
      </c>
      <c r="P1006" s="34">
        <v>2524.35</v>
      </c>
      <c r="Q1006" s="34">
        <v>404.4</v>
      </c>
      <c r="R1006" s="34">
        <v>11.64</v>
      </c>
      <c r="S1006" s="34">
        <v>2732.37</v>
      </c>
      <c r="T1006" s="35">
        <v>67.85</v>
      </c>
      <c r="U1006" s="35">
        <v>135.7</v>
      </c>
      <c r="V1006" s="35">
        <v>82.39</v>
      </c>
      <c r="W1006" s="35">
        <v>164.78</v>
      </c>
      <c r="X1006" s="34">
        <v>5464.74</v>
      </c>
      <c r="Y1006" s="31">
        <v>2280</v>
      </c>
      <c r="Z1006" s="31">
        <v>1480</v>
      </c>
      <c r="AA1006" s="31">
        <v>450</v>
      </c>
      <c r="AB1006" s="31">
        <v>1.52</v>
      </c>
    </row>
    <row r="1007" customHeight="1" spans="2:28">
      <c r="B1007" s="6" t="str">
        <f t="shared" si="15"/>
        <v>43115-DT1EJ20250101-A-TIIU6453760-PARTS</v>
      </c>
      <c r="C1007" t="s">
        <v>80</v>
      </c>
      <c r="D1007" t="s">
        <v>81</v>
      </c>
      <c r="E1007" t="s">
        <v>720</v>
      </c>
      <c r="F1007" t="s">
        <v>721</v>
      </c>
      <c r="G1007" s="1" t="s">
        <v>84</v>
      </c>
      <c r="I1007" s="1" t="s">
        <v>85</v>
      </c>
      <c r="J1007" s="1" t="s">
        <v>723</v>
      </c>
      <c r="K1007" s="1" t="s">
        <v>664</v>
      </c>
      <c r="L1007">
        <v>8708923509</v>
      </c>
      <c r="M1007" s="2" t="s">
        <v>665</v>
      </c>
      <c r="N1007" s="3" t="s">
        <v>666</v>
      </c>
      <c r="O1007" s="1">
        <v>2</v>
      </c>
      <c r="P1007" s="4">
        <v>767.68</v>
      </c>
      <c r="Q1007" s="4">
        <v>123.06</v>
      </c>
      <c r="R1007" s="4">
        <v>3.54</v>
      </c>
      <c r="S1007" s="4">
        <v>830.98</v>
      </c>
      <c r="T1007" s="5">
        <v>16.15</v>
      </c>
      <c r="U1007" s="5">
        <v>32.3</v>
      </c>
      <c r="V1007" s="5">
        <v>19.61</v>
      </c>
      <c r="W1007" s="5">
        <v>39.22</v>
      </c>
      <c r="X1007" s="4">
        <v>1661.96</v>
      </c>
    </row>
    <row r="1008" customHeight="1" spans="2:28">
      <c r="B1008" s="6" t="str">
        <f t="shared" si="15"/>
        <v>43115-DT1EJ20250101-A-TIIU6455594-PARTS</v>
      </c>
      <c r="C1008" t="s">
        <v>80</v>
      </c>
      <c r="D1008" t="s">
        <v>81</v>
      </c>
      <c r="E1008" t="s">
        <v>724</v>
      </c>
      <c r="F1008" t="s">
        <v>725</v>
      </c>
      <c r="G1008" s="1" t="s">
        <v>84</v>
      </c>
      <c r="I1008" s="1" t="s">
        <v>85</v>
      </c>
      <c r="J1008" s="1" t="s">
        <v>726</v>
      </c>
      <c r="K1008" s="1" t="s">
        <v>661</v>
      </c>
      <c r="L1008">
        <v>8708809909</v>
      </c>
      <c r="M1008" s="2" t="s">
        <v>662</v>
      </c>
      <c r="N1008" s="3" t="s">
        <v>663</v>
      </c>
      <c r="O1008" s="1">
        <v>2</v>
      </c>
      <c r="P1008" s="4">
        <v>2524.35</v>
      </c>
      <c r="Q1008" s="4">
        <v>404.4</v>
      </c>
      <c r="R1008" s="4">
        <v>11.64</v>
      </c>
      <c r="S1008" s="4">
        <v>2732.37</v>
      </c>
      <c r="T1008" s="5">
        <v>67.85</v>
      </c>
      <c r="U1008" s="5">
        <v>135.7</v>
      </c>
      <c r="V1008" s="5">
        <v>82.39</v>
      </c>
      <c r="W1008" s="5">
        <v>164.78</v>
      </c>
      <c r="X1008" s="4">
        <v>5464.74</v>
      </c>
      <c r="Y1008">
        <v>2280</v>
      </c>
      <c r="Z1008">
        <v>1480</v>
      </c>
      <c r="AA1008">
        <v>450</v>
      </c>
      <c r="AB1008" s="1">
        <v>1.52</v>
      </c>
    </row>
    <row r="1009" customHeight="1" spans="2:28">
      <c r="B1009" s="6" t="str">
        <f t="shared" si="15"/>
        <v>43115-DT1EJ20250101-A-TIIU6455594-PARTS</v>
      </c>
      <c r="C1009" t="s">
        <v>80</v>
      </c>
      <c r="D1009" t="s">
        <v>81</v>
      </c>
      <c r="E1009" t="s">
        <v>724</v>
      </c>
      <c r="F1009" t="s">
        <v>725</v>
      </c>
      <c r="G1009" s="1" t="s">
        <v>84</v>
      </c>
      <c r="I1009" s="1" t="s">
        <v>85</v>
      </c>
      <c r="J1009" s="1" t="s">
        <v>726</v>
      </c>
      <c r="K1009" s="1" t="s">
        <v>664</v>
      </c>
      <c r="L1009">
        <v>8708923509</v>
      </c>
      <c r="M1009" s="2" t="s">
        <v>665</v>
      </c>
      <c r="N1009" s="3" t="s">
        <v>666</v>
      </c>
      <c r="O1009" s="1">
        <v>2</v>
      </c>
      <c r="P1009" s="4">
        <v>767.68</v>
      </c>
      <c r="Q1009" s="4">
        <v>123.06</v>
      </c>
      <c r="R1009" s="4">
        <v>3.54</v>
      </c>
      <c r="S1009" s="4">
        <v>830.98</v>
      </c>
      <c r="T1009" s="5">
        <v>16.15</v>
      </c>
      <c r="U1009" s="5">
        <v>32.3</v>
      </c>
      <c r="V1009" s="5">
        <v>19.61</v>
      </c>
      <c r="W1009" s="5">
        <v>39.22</v>
      </c>
      <c r="X1009" s="4">
        <v>1661.96</v>
      </c>
    </row>
    <row r="1010" customHeight="1" spans="2:28">
      <c r="B1010" s="6" t="str">
        <f t="shared" si="15"/>
        <v>43115-DT1EJ20250101-A-TIIU6455594-PARTS</v>
      </c>
      <c r="C1010" t="s">
        <v>80</v>
      </c>
      <c r="D1010" t="s">
        <v>81</v>
      </c>
      <c r="E1010" t="s">
        <v>724</v>
      </c>
      <c r="F1010" t="s">
        <v>725</v>
      </c>
      <c r="G1010" s="1" t="s">
        <v>84</v>
      </c>
      <c r="I1010" s="1" t="s">
        <v>85</v>
      </c>
      <c r="J1010" s="1" t="s">
        <v>727</v>
      </c>
      <c r="K1010" s="1" t="s">
        <v>661</v>
      </c>
      <c r="L1010">
        <v>8708809909</v>
      </c>
      <c r="M1010" s="2" t="s">
        <v>662</v>
      </c>
      <c r="N1010" s="3" t="s">
        <v>663</v>
      </c>
      <c r="O1010" s="1">
        <v>2</v>
      </c>
      <c r="P1010" s="4">
        <v>2524.35</v>
      </c>
      <c r="Q1010" s="4">
        <v>404.4</v>
      </c>
      <c r="R1010" s="4">
        <v>11.64</v>
      </c>
      <c r="S1010" s="4">
        <v>2732.37</v>
      </c>
      <c r="T1010" s="5">
        <v>67.85</v>
      </c>
      <c r="U1010" s="5">
        <v>135.7</v>
      </c>
      <c r="V1010" s="5">
        <v>82.39</v>
      </c>
      <c r="W1010" s="5">
        <v>164.78</v>
      </c>
      <c r="X1010" s="4">
        <v>5464.74</v>
      </c>
      <c r="Y1010">
        <v>2280</v>
      </c>
      <c r="Z1010">
        <v>1480</v>
      </c>
      <c r="AA1010">
        <v>450</v>
      </c>
      <c r="AB1010" s="1">
        <v>1.52</v>
      </c>
    </row>
    <row r="1011" spans="2:28">
      <c r="B1011" s="6" t="str">
        <f t="shared" si="15"/>
        <v>43115-DT1EJ20250101-A-TIIU6455594-PARTS</v>
      </c>
      <c r="C1011" t="s">
        <v>80</v>
      </c>
      <c r="D1011" t="s">
        <v>81</v>
      </c>
      <c r="E1011" t="s">
        <v>724</v>
      </c>
      <c r="F1011" t="s">
        <v>725</v>
      </c>
      <c r="G1011" s="1" t="s">
        <v>84</v>
      </c>
      <c r="I1011" s="1" t="s">
        <v>85</v>
      </c>
      <c r="J1011" s="1" t="s">
        <v>727</v>
      </c>
      <c r="K1011" s="1" t="s">
        <v>664</v>
      </c>
      <c r="L1011">
        <v>8708923509</v>
      </c>
      <c r="M1011" s="2" t="s">
        <v>665</v>
      </c>
      <c r="N1011" s="3" t="s">
        <v>666</v>
      </c>
      <c r="O1011" s="1">
        <v>2</v>
      </c>
      <c r="P1011" s="4">
        <v>767.68</v>
      </c>
      <c r="Q1011" s="4">
        <v>123.06</v>
      </c>
      <c r="R1011" s="4">
        <v>3.54</v>
      </c>
      <c r="S1011" s="4">
        <v>830.98</v>
      </c>
      <c r="T1011" s="5">
        <v>16.15</v>
      </c>
      <c r="U1011" s="5">
        <v>32.3</v>
      </c>
      <c r="V1011" s="5">
        <v>19.61</v>
      </c>
      <c r="W1011" s="5">
        <v>39.22</v>
      </c>
      <c r="X1011" s="4">
        <v>1661.96</v>
      </c>
    </row>
    <row r="1012" spans="2:28">
      <c r="B1012" s="6" t="str">
        <f t="shared" si="15"/>
        <v>43115-DT1EJ20250101-A-TIIU6455655-PARTS</v>
      </c>
      <c r="C1012" t="s">
        <v>80</v>
      </c>
      <c r="D1012" t="s">
        <v>81</v>
      </c>
      <c r="E1012" t="s">
        <v>728</v>
      </c>
      <c r="F1012" t="s">
        <v>729</v>
      </c>
      <c r="G1012" s="1" t="s">
        <v>84</v>
      </c>
      <c r="I1012" s="1" t="s">
        <v>85</v>
      </c>
      <c r="J1012" s="1" t="s">
        <v>730</v>
      </c>
      <c r="K1012" s="1" t="s">
        <v>661</v>
      </c>
      <c r="L1012">
        <v>8708809909</v>
      </c>
      <c r="M1012" s="2" t="s">
        <v>662</v>
      </c>
      <c r="N1012" s="3" t="s">
        <v>663</v>
      </c>
      <c r="O1012" s="1">
        <v>2</v>
      </c>
      <c r="P1012" s="4">
        <v>2524.35</v>
      </c>
      <c r="Q1012" s="4">
        <v>404.4</v>
      </c>
      <c r="R1012" s="4">
        <v>11.64</v>
      </c>
      <c r="S1012" s="4">
        <v>2732.37</v>
      </c>
      <c r="T1012" s="5">
        <v>67.85</v>
      </c>
      <c r="U1012" s="5">
        <v>135.7</v>
      </c>
      <c r="V1012" s="5">
        <v>82.39</v>
      </c>
      <c r="W1012" s="5">
        <v>164.78</v>
      </c>
      <c r="X1012" s="4">
        <v>5464.74</v>
      </c>
      <c r="Y1012">
        <v>2280</v>
      </c>
      <c r="Z1012">
        <v>1480</v>
      </c>
      <c r="AA1012">
        <v>450</v>
      </c>
      <c r="AB1012" s="1">
        <v>1.52</v>
      </c>
    </row>
    <row r="1013" spans="2:28">
      <c r="B1013" s="6" t="str">
        <f t="shared" si="15"/>
        <v>43115-DT1EJ20250101-A-TIIU6455655-PARTS</v>
      </c>
      <c r="C1013" t="s">
        <v>80</v>
      </c>
      <c r="D1013" t="s">
        <v>81</v>
      </c>
      <c r="E1013" t="s">
        <v>728</v>
      </c>
      <c r="F1013" t="s">
        <v>729</v>
      </c>
      <c r="G1013" s="1" t="s">
        <v>84</v>
      </c>
      <c r="I1013" s="1" t="s">
        <v>85</v>
      </c>
      <c r="J1013" s="1" t="s">
        <v>730</v>
      </c>
      <c r="K1013" s="1" t="s">
        <v>664</v>
      </c>
      <c r="L1013">
        <v>8708923509</v>
      </c>
      <c r="M1013" s="2" t="s">
        <v>665</v>
      </c>
      <c r="N1013" s="3" t="s">
        <v>666</v>
      </c>
      <c r="O1013" s="1">
        <v>2</v>
      </c>
      <c r="P1013" s="4">
        <v>767.68</v>
      </c>
      <c r="Q1013" s="4">
        <v>123.06</v>
      </c>
      <c r="R1013" s="4">
        <v>3.54</v>
      </c>
      <c r="S1013" s="4">
        <v>830.98</v>
      </c>
      <c r="T1013" s="5">
        <v>16.15</v>
      </c>
      <c r="U1013" s="5">
        <v>32.3</v>
      </c>
      <c r="V1013" s="5">
        <v>19.61</v>
      </c>
      <c r="W1013" s="5">
        <v>39.22</v>
      </c>
      <c r="X1013" s="4">
        <v>1661.96</v>
      </c>
    </row>
    <row r="1014" spans="2:28">
      <c r="B1014" s="6" t="str">
        <f t="shared" si="15"/>
        <v>43115-DT1EJ20250101-A-TIIU6455655-PARTS</v>
      </c>
      <c r="C1014" t="s">
        <v>80</v>
      </c>
      <c r="D1014" t="s">
        <v>81</v>
      </c>
      <c r="E1014" t="s">
        <v>728</v>
      </c>
      <c r="F1014" t="s">
        <v>729</v>
      </c>
      <c r="G1014" s="1" t="s">
        <v>84</v>
      </c>
      <c r="I1014" s="1" t="s">
        <v>85</v>
      </c>
      <c r="J1014" s="1" t="s">
        <v>731</v>
      </c>
      <c r="K1014" s="1" t="s">
        <v>661</v>
      </c>
      <c r="L1014">
        <v>8708809909</v>
      </c>
      <c r="M1014" s="2" t="s">
        <v>662</v>
      </c>
      <c r="N1014" s="3" t="s">
        <v>663</v>
      </c>
      <c r="O1014" s="1">
        <v>2</v>
      </c>
      <c r="P1014" s="4">
        <v>2524.35</v>
      </c>
      <c r="Q1014" s="4">
        <v>404.4</v>
      </c>
      <c r="R1014" s="4">
        <v>11.64</v>
      </c>
      <c r="S1014" s="4">
        <v>2732.37</v>
      </c>
      <c r="T1014" s="5">
        <v>67.85</v>
      </c>
      <c r="U1014" s="5">
        <v>135.7</v>
      </c>
      <c r="V1014" s="5">
        <v>82.39</v>
      </c>
      <c r="W1014" s="5">
        <v>164.78</v>
      </c>
      <c r="X1014" s="4">
        <v>5464.74</v>
      </c>
      <c r="Y1014">
        <v>2280</v>
      </c>
      <c r="Z1014">
        <v>1480</v>
      </c>
      <c r="AA1014">
        <v>450</v>
      </c>
      <c r="AB1014" s="1">
        <v>1.52</v>
      </c>
    </row>
    <row r="1015" spans="2:28">
      <c r="B1015" s="6" t="str">
        <f t="shared" si="15"/>
        <v>43115-DT1EJ20250101-A-TIIU6455655-PARTS</v>
      </c>
      <c r="C1015" t="s">
        <v>80</v>
      </c>
      <c r="D1015" t="s">
        <v>81</v>
      </c>
      <c r="E1015" t="s">
        <v>728</v>
      </c>
      <c r="F1015" t="s">
        <v>729</v>
      </c>
      <c r="G1015" s="1" t="s">
        <v>84</v>
      </c>
      <c r="I1015" s="1" t="s">
        <v>85</v>
      </c>
      <c r="J1015" s="1" t="s">
        <v>731</v>
      </c>
      <c r="K1015" s="1" t="s">
        <v>664</v>
      </c>
      <c r="L1015">
        <v>8708923509</v>
      </c>
      <c r="M1015" s="2" t="s">
        <v>665</v>
      </c>
      <c r="N1015" s="3" t="s">
        <v>666</v>
      </c>
      <c r="O1015" s="1">
        <v>2</v>
      </c>
      <c r="P1015" s="4">
        <v>767.68</v>
      </c>
      <c r="Q1015" s="4">
        <v>123.06</v>
      </c>
      <c r="R1015" s="4">
        <v>3.54</v>
      </c>
      <c r="S1015" s="4">
        <v>830.98</v>
      </c>
      <c r="T1015" s="5">
        <v>16.15</v>
      </c>
      <c r="U1015" s="5">
        <v>32.3</v>
      </c>
      <c r="V1015" s="5">
        <v>19.61</v>
      </c>
      <c r="W1015" s="5">
        <v>39.22</v>
      </c>
      <c r="X1015" s="4">
        <v>1661.96</v>
      </c>
    </row>
    <row r="1016" customHeight="1" spans="2:28">
      <c r="B1016" s="6" t="str">
        <f t="shared" si="15"/>
        <v>43115-DT1EJ20250101-A-TIIU6455871-PARTS</v>
      </c>
      <c r="C1016" s="29" t="s">
        <v>80</v>
      </c>
      <c r="D1016" s="30" t="s">
        <v>81</v>
      </c>
      <c r="E1016" s="30" t="s">
        <v>732</v>
      </c>
      <c r="F1016" s="30" t="s">
        <v>733</v>
      </c>
      <c r="G1016" s="31" t="s">
        <v>84</v>
      </c>
      <c r="H1016" s="31"/>
      <c r="I1016" s="31" t="s">
        <v>85</v>
      </c>
      <c r="J1016" s="31" t="s">
        <v>734</v>
      </c>
      <c r="K1016" s="31" t="s">
        <v>661</v>
      </c>
      <c r="L1016" s="31">
        <v>8708809909</v>
      </c>
      <c r="M1016" s="32" t="s">
        <v>662</v>
      </c>
      <c r="N1016" s="33" t="s">
        <v>663</v>
      </c>
      <c r="O1016" s="31">
        <v>2</v>
      </c>
      <c r="P1016" s="34">
        <v>2524.35</v>
      </c>
      <c r="Q1016" s="34">
        <v>404.4</v>
      </c>
      <c r="R1016" s="34">
        <v>11.64</v>
      </c>
      <c r="S1016" s="34">
        <v>2732.37</v>
      </c>
      <c r="T1016" s="35">
        <v>67.85</v>
      </c>
      <c r="U1016" s="35">
        <v>135.7</v>
      </c>
      <c r="V1016" s="35">
        <v>82.39</v>
      </c>
      <c r="W1016" s="35">
        <v>164.78</v>
      </c>
      <c r="X1016" s="34">
        <v>5464.74</v>
      </c>
      <c r="Y1016" s="31">
        <v>2280</v>
      </c>
      <c r="Z1016" s="31">
        <v>1480</v>
      </c>
      <c r="AA1016" s="31">
        <v>450</v>
      </c>
      <c r="AB1016" s="31">
        <v>1.52</v>
      </c>
    </row>
    <row r="1017" spans="2:28">
      <c r="B1017" s="6" t="str">
        <f t="shared" si="15"/>
        <v>43115-DT1EJ20250101-A-TIIU6455871-PARTS</v>
      </c>
      <c r="C1017" t="s">
        <v>80</v>
      </c>
      <c r="D1017" t="s">
        <v>81</v>
      </c>
      <c r="E1017" t="s">
        <v>732</v>
      </c>
      <c r="F1017" t="s">
        <v>733</v>
      </c>
      <c r="G1017" s="1" t="s">
        <v>84</v>
      </c>
      <c r="I1017" s="1" t="s">
        <v>85</v>
      </c>
      <c r="J1017" s="1" t="s">
        <v>734</v>
      </c>
      <c r="K1017" s="1" t="s">
        <v>664</v>
      </c>
      <c r="L1017">
        <v>8708923509</v>
      </c>
      <c r="M1017" s="2" t="s">
        <v>665</v>
      </c>
      <c r="N1017" s="3" t="s">
        <v>666</v>
      </c>
      <c r="O1017" s="1">
        <v>2</v>
      </c>
      <c r="P1017" s="4">
        <v>767.68</v>
      </c>
      <c r="Q1017" s="4">
        <v>123.06</v>
      </c>
      <c r="R1017" s="4">
        <v>3.54</v>
      </c>
      <c r="S1017" s="4">
        <v>830.98</v>
      </c>
      <c r="T1017" s="5">
        <v>16.15</v>
      </c>
      <c r="U1017" s="5">
        <v>32.3</v>
      </c>
      <c r="V1017" s="5">
        <v>19.61</v>
      </c>
      <c r="W1017" s="5">
        <v>39.22</v>
      </c>
      <c r="X1017" s="4">
        <v>1661.96</v>
      </c>
    </row>
    <row r="1018" customHeight="1" spans="2:28">
      <c r="B1018" s="6" t="str">
        <f t="shared" si="15"/>
        <v>43115-DT1EJ20250101-A-TIIU6455871-PARTS</v>
      </c>
      <c r="C1018" s="29" t="s">
        <v>80</v>
      </c>
      <c r="D1018" s="30" t="s">
        <v>81</v>
      </c>
      <c r="E1018" s="30" t="s">
        <v>732</v>
      </c>
      <c r="F1018" s="30" t="s">
        <v>733</v>
      </c>
      <c r="G1018" s="31" t="s">
        <v>84</v>
      </c>
      <c r="H1018" s="31"/>
      <c r="I1018" s="31" t="s">
        <v>85</v>
      </c>
      <c r="J1018" s="31" t="s">
        <v>735</v>
      </c>
      <c r="K1018" s="31" t="s">
        <v>661</v>
      </c>
      <c r="L1018" s="31">
        <v>8708809909</v>
      </c>
      <c r="M1018" s="32" t="s">
        <v>662</v>
      </c>
      <c r="N1018" s="33" t="s">
        <v>663</v>
      </c>
      <c r="O1018" s="31">
        <v>2</v>
      </c>
      <c r="P1018" s="34">
        <v>2524.35</v>
      </c>
      <c r="Q1018" s="34">
        <v>404.4</v>
      </c>
      <c r="R1018" s="34">
        <v>11.64</v>
      </c>
      <c r="S1018" s="34">
        <v>2732.37</v>
      </c>
      <c r="T1018" s="35">
        <v>67.85</v>
      </c>
      <c r="U1018" s="35">
        <v>135.7</v>
      </c>
      <c r="V1018" s="35">
        <v>82.39</v>
      </c>
      <c r="W1018" s="35">
        <v>164.78</v>
      </c>
      <c r="X1018" s="34">
        <v>5464.74</v>
      </c>
      <c r="Y1018" s="31">
        <v>2280</v>
      </c>
      <c r="Z1018" s="31">
        <v>1480</v>
      </c>
      <c r="AA1018" s="31">
        <v>450</v>
      </c>
      <c r="AB1018" s="31">
        <v>1.52</v>
      </c>
    </row>
    <row r="1019" customHeight="1" spans="2:28">
      <c r="B1019" s="6" t="str">
        <f t="shared" si="15"/>
        <v>43115-DT1EJ20250101-A-TIIU6455871-PARTS</v>
      </c>
      <c r="C1019" s="29" t="s">
        <v>80</v>
      </c>
      <c r="D1019" s="30" t="s">
        <v>81</v>
      </c>
      <c r="E1019" s="30" t="s">
        <v>732</v>
      </c>
      <c r="F1019" s="30" t="s">
        <v>733</v>
      </c>
      <c r="G1019" s="31" t="s">
        <v>84</v>
      </c>
      <c r="H1019" s="31"/>
      <c r="I1019" s="31" t="s">
        <v>85</v>
      </c>
      <c r="J1019" s="31" t="s">
        <v>735</v>
      </c>
      <c r="K1019" s="31" t="s">
        <v>664</v>
      </c>
      <c r="L1019" s="31">
        <v>8708923509</v>
      </c>
      <c r="M1019" s="32" t="s">
        <v>665</v>
      </c>
      <c r="N1019" s="33" t="s">
        <v>666</v>
      </c>
      <c r="O1019" s="31">
        <v>2</v>
      </c>
      <c r="P1019" s="34">
        <v>767.68</v>
      </c>
      <c r="Q1019" s="34">
        <v>123.06</v>
      </c>
      <c r="R1019" s="34">
        <v>3.54</v>
      </c>
      <c r="S1019" s="34">
        <v>830.98</v>
      </c>
      <c r="T1019" s="35">
        <v>16.15</v>
      </c>
      <c r="U1019" s="35">
        <v>32.3</v>
      </c>
      <c r="V1019" s="35">
        <v>19.61</v>
      </c>
      <c r="W1019" s="35">
        <v>39.22</v>
      </c>
      <c r="X1019" s="34">
        <v>1661.96</v>
      </c>
      <c r="Y1019" s="31"/>
      <c r="Z1019" s="31"/>
      <c r="AA1019" s="31"/>
      <c r="AB1019" s="31"/>
    </row>
    <row r="1020" spans="2:28">
      <c r="B1020" s="6" t="str">
        <f t="shared" si="15"/>
        <v>43115-DT1EJ20250101-A-TIIU6456203-PARTS</v>
      </c>
      <c r="C1020" t="s">
        <v>80</v>
      </c>
      <c r="D1020" t="s">
        <v>81</v>
      </c>
      <c r="E1020" t="s">
        <v>736</v>
      </c>
      <c r="F1020" t="s">
        <v>737</v>
      </c>
      <c r="G1020" s="1" t="s">
        <v>84</v>
      </c>
      <c r="I1020" s="1" t="s">
        <v>85</v>
      </c>
      <c r="J1020" s="1" t="s">
        <v>738</v>
      </c>
      <c r="K1020" s="1" t="s">
        <v>661</v>
      </c>
      <c r="L1020">
        <v>8708809909</v>
      </c>
      <c r="M1020" s="2" t="s">
        <v>662</v>
      </c>
      <c r="N1020" s="3" t="s">
        <v>663</v>
      </c>
      <c r="O1020" s="1">
        <v>2</v>
      </c>
      <c r="P1020" s="4">
        <v>2524.35</v>
      </c>
      <c r="Q1020" s="4">
        <v>404.4</v>
      </c>
      <c r="R1020" s="4">
        <v>11.64</v>
      </c>
      <c r="S1020" s="4">
        <v>2732.37</v>
      </c>
      <c r="T1020" s="5">
        <v>67.85</v>
      </c>
      <c r="U1020" s="5">
        <v>135.7</v>
      </c>
      <c r="V1020" s="5">
        <v>82.39</v>
      </c>
      <c r="W1020" s="5">
        <v>164.78</v>
      </c>
      <c r="X1020" s="4">
        <v>5464.74</v>
      </c>
      <c r="Y1020">
        <v>2280</v>
      </c>
      <c r="Z1020">
        <v>1480</v>
      </c>
      <c r="AA1020">
        <v>450</v>
      </c>
      <c r="AB1020" s="1">
        <v>1.52</v>
      </c>
    </row>
    <row r="1021" spans="2:28">
      <c r="B1021" s="6" t="str">
        <f t="shared" si="15"/>
        <v>43115-DT1EJ20250101-A-TIIU6456203-PARTS</v>
      </c>
      <c r="C1021" t="s">
        <v>80</v>
      </c>
      <c r="D1021" t="s">
        <v>81</v>
      </c>
      <c r="E1021" t="s">
        <v>736</v>
      </c>
      <c r="F1021" t="s">
        <v>737</v>
      </c>
      <c r="G1021" s="1" t="s">
        <v>84</v>
      </c>
      <c r="I1021" s="1" t="s">
        <v>85</v>
      </c>
      <c r="J1021" s="1" t="s">
        <v>738</v>
      </c>
      <c r="K1021" s="1" t="s">
        <v>664</v>
      </c>
      <c r="L1021">
        <v>8708923509</v>
      </c>
      <c r="M1021" s="2" t="s">
        <v>665</v>
      </c>
      <c r="N1021" s="3" t="s">
        <v>666</v>
      </c>
      <c r="O1021" s="1">
        <v>2</v>
      </c>
      <c r="P1021" s="4">
        <v>767.68</v>
      </c>
      <c r="Q1021" s="4">
        <v>123.06</v>
      </c>
      <c r="R1021" s="4">
        <v>3.54</v>
      </c>
      <c r="S1021" s="4">
        <v>830.98</v>
      </c>
      <c r="T1021" s="5">
        <v>16.15</v>
      </c>
      <c r="U1021" s="5">
        <v>32.3</v>
      </c>
      <c r="V1021" s="5">
        <v>19.61</v>
      </c>
      <c r="W1021" s="5">
        <v>39.22</v>
      </c>
      <c r="X1021" s="4">
        <v>1661.96</v>
      </c>
    </row>
    <row r="1022" spans="2:28">
      <c r="B1022" s="6" t="str">
        <f t="shared" si="15"/>
        <v>43115-DT1EJ20250101-A-TIIU6456203-PARTS</v>
      </c>
      <c r="C1022" t="s">
        <v>80</v>
      </c>
      <c r="D1022" t="s">
        <v>81</v>
      </c>
      <c r="E1022" t="s">
        <v>736</v>
      </c>
      <c r="F1022" t="s">
        <v>737</v>
      </c>
      <c r="G1022" s="1" t="s">
        <v>84</v>
      </c>
      <c r="I1022" s="1" t="s">
        <v>85</v>
      </c>
      <c r="J1022" s="1" t="s">
        <v>739</v>
      </c>
      <c r="K1022" s="1" t="s">
        <v>661</v>
      </c>
      <c r="L1022">
        <v>8708809909</v>
      </c>
      <c r="M1022" s="2" t="s">
        <v>662</v>
      </c>
      <c r="N1022" s="3" t="s">
        <v>663</v>
      </c>
      <c r="O1022" s="1">
        <v>2</v>
      </c>
      <c r="P1022" s="4">
        <v>2524.35</v>
      </c>
      <c r="Q1022" s="4">
        <v>404.4</v>
      </c>
      <c r="R1022" s="4">
        <v>11.64</v>
      </c>
      <c r="S1022" s="4">
        <v>2732.37</v>
      </c>
      <c r="T1022" s="5">
        <v>67.85</v>
      </c>
      <c r="U1022" s="5">
        <v>135.7</v>
      </c>
      <c r="V1022" s="5">
        <v>82.39</v>
      </c>
      <c r="W1022" s="5">
        <v>164.78</v>
      </c>
      <c r="X1022" s="4">
        <v>5464.74</v>
      </c>
      <c r="Y1022">
        <v>2280</v>
      </c>
      <c r="Z1022">
        <v>1480</v>
      </c>
      <c r="AA1022">
        <v>450</v>
      </c>
      <c r="AB1022" s="1">
        <v>1.52</v>
      </c>
    </row>
    <row r="1023" spans="2:28">
      <c r="B1023" s="6" t="str">
        <f t="shared" si="15"/>
        <v>43115-DT1EJ20250101-A-TIIU6456203-PARTS</v>
      </c>
      <c r="C1023" t="s">
        <v>80</v>
      </c>
      <c r="D1023" t="s">
        <v>81</v>
      </c>
      <c r="E1023" t="s">
        <v>736</v>
      </c>
      <c r="F1023" t="s">
        <v>737</v>
      </c>
      <c r="G1023" s="1" t="s">
        <v>84</v>
      </c>
      <c r="I1023" s="1" t="s">
        <v>85</v>
      </c>
      <c r="J1023" s="1" t="s">
        <v>739</v>
      </c>
      <c r="K1023" s="1" t="s">
        <v>664</v>
      </c>
      <c r="L1023">
        <v>8708923509</v>
      </c>
      <c r="M1023" s="2" t="s">
        <v>665</v>
      </c>
      <c r="N1023" s="3" t="s">
        <v>666</v>
      </c>
      <c r="O1023" s="1">
        <v>2</v>
      </c>
      <c r="P1023" s="4">
        <v>767.68</v>
      </c>
      <c r="Q1023" s="4">
        <v>123.06</v>
      </c>
      <c r="R1023" s="4">
        <v>3.54</v>
      </c>
      <c r="S1023" s="4">
        <v>830.98</v>
      </c>
      <c r="T1023" s="5">
        <v>16.15</v>
      </c>
      <c r="U1023" s="5">
        <v>32.3</v>
      </c>
      <c r="V1023" s="5">
        <v>19.61</v>
      </c>
      <c r="W1023" s="5">
        <v>39.22</v>
      </c>
      <c r="X1023" s="4">
        <v>1661.96</v>
      </c>
    </row>
    <row r="1024" customHeight="1" spans="2:28">
      <c r="B1024" s="6" t="str">
        <f t="shared" si="15"/>
        <v>43115-DT1EJ20250101-A-TIIU6456266-PARTS</v>
      </c>
      <c r="C1024" s="29" t="s">
        <v>80</v>
      </c>
      <c r="D1024" s="30" t="s">
        <v>81</v>
      </c>
      <c r="E1024" s="30" t="s">
        <v>740</v>
      </c>
      <c r="F1024" s="30" t="s">
        <v>741</v>
      </c>
      <c r="G1024" s="31" t="s">
        <v>84</v>
      </c>
      <c r="H1024" s="31"/>
      <c r="I1024" s="31" t="s">
        <v>85</v>
      </c>
      <c r="J1024" s="31" t="s">
        <v>742</v>
      </c>
      <c r="K1024" s="31" t="s">
        <v>661</v>
      </c>
      <c r="L1024" s="31">
        <v>8708809909</v>
      </c>
      <c r="M1024" s="32" t="s">
        <v>662</v>
      </c>
      <c r="N1024" s="33" t="s">
        <v>663</v>
      </c>
      <c r="O1024" s="31">
        <v>2</v>
      </c>
      <c r="P1024" s="34">
        <v>2524.35</v>
      </c>
      <c r="Q1024" s="34">
        <v>404.4</v>
      </c>
      <c r="R1024" s="34">
        <v>11.64</v>
      </c>
      <c r="S1024" s="34">
        <v>2732.37</v>
      </c>
      <c r="T1024" s="35">
        <v>67.85</v>
      </c>
      <c r="U1024" s="35">
        <v>135.7</v>
      </c>
      <c r="V1024" s="35">
        <v>82.39</v>
      </c>
      <c r="W1024" s="35">
        <v>164.78</v>
      </c>
      <c r="X1024" s="34">
        <v>5464.74</v>
      </c>
      <c r="Y1024" s="31">
        <v>2280</v>
      </c>
      <c r="Z1024" s="31">
        <v>1480</v>
      </c>
      <c r="AA1024" s="31">
        <v>450</v>
      </c>
      <c r="AB1024" s="31">
        <v>1.52</v>
      </c>
    </row>
    <row r="1025" customHeight="1" spans="2:28">
      <c r="B1025" s="6" t="str">
        <f t="shared" si="15"/>
        <v>43115-DT1EJ20250101-A-TIIU6456266-PARTS</v>
      </c>
      <c r="C1025" s="29" t="s">
        <v>80</v>
      </c>
      <c r="D1025" s="30" t="s">
        <v>81</v>
      </c>
      <c r="E1025" s="30" t="s">
        <v>740</v>
      </c>
      <c r="F1025" s="30" t="s">
        <v>741</v>
      </c>
      <c r="G1025" s="31" t="s">
        <v>84</v>
      </c>
      <c r="H1025" s="31"/>
      <c r="I1025" s="31" t="s">
        <v>85</v>
      </c>
      <c r="J1025" s="31" t="s">
        <v>742</v>
      </c>
      <c r="K1025" s="31" t="s">
        <v>664</v>
      </c>
      <c r="L1025" s="31">
        <v>8708923509</v>
      </c>
      <c r="M1025" s="32" t="s">
        <v>665</v>
      </c>
      <c r="N1025" s="33" t="s">
        <v>666</v>
      </c>
      <c r="O1025" s="31">
        <v>2</v>
      </c>
      <c r="P1025" s="34">
        <v>767.68</v>
      </c>
      <c r="Q1025" s="34">
        <v>123.06</v>
      </c>
      <c r="R1025" s="34">
        <v>3.54</v>
      </c>
      <c r="S1025" s="34">
        <v>830.98</v>
      </c>
      <c r="T1025" s="35">
        <v>16.15</v>
      </c>
      <c r="U1025" s="35">
        <v>32.3</v>
      </c>
      <c r="V1025" s="35">
        <v>19.61</v>
      </c>
      <c r="W1025" s="35">
        <v>39.22</v>
      </c>
      <c r="X1025" s="34">
        <v>1661.96</v>
      </c>
      <c r="Y1025" s="31"/>
      <c r="Z1025" s="31"/>
      <c r="AA1025" s="31"/>
      <c r="AB1025" s="31"/>
    </row>
    <row r="1026" customHeight="1" spans="2:28">
      <c r="B1026" s="6" t="str">
        <f t="shared" ref="B1026:B1089" si="16">CONCATENATE(C1026,"-",E1026,"-",G1026)</f>
        <v>43115-DT1EJ20250101-A-TIIU6456266-PARTS</v>
      </c>
      <c r="C1026" s="29" t="s">
        <v>80</v>
      </c>
      <c r="D1026" s="30" t="s">
        <v>81</v>
      </c>
      <c r="E1026" s="30" t="s">
        <v>740</v>
      </c>
      <c r="F1026" s="30" t="s">
        <v>741</v>
      </c>
      <c r="G1026" s="31" t="s">
        <v>84</v>
      </c>
      <c r="H1026" s="31"/>
      <c r="I1026" s="31" t="s">
        <v>85</v>
      </c>
      <c r="J1026" s="31" t="s">
        <v>743</v>
      </c>
      <c r="K1026" s="31" t="s">
        <v>661</v>
      </c>
      <c r="L1026" s="31">
        <v>8708809909</v>
      </c>
      <c r="M1026" s="32" t="s">
        <v>662</v>
      </c>
      <c r="N1026" s="33" t="s">
        <v>663</v>
      </c>
      <c r="O1026" s="31">
        <v>2</v>
      </c>
      <c r="P1026" s="34">
        <v>2524.35</v>
      </c>
      <c r="Q1026" s="34">
        <v>404.4</v>
      </c>
      <c r="R1026" s="34">
        <v>11.64</v>
      </c>
      <c r="S1026" s="34">
        <v>2732.37</v>
      </c>
      <c r="T1026" s="35">
        <v>67.85</v>
      </c>
      <c r="U1026" s="35">
        <v>135.7</v>
      </c>
      <c r="V1026" s="35">
        <v>82.39</v>
      </c>
      <c r="W1026" s="35">
        <v>164.78</v>
      </c>
      <c r="X1026" s="34">
        <v>5464.74</v>
      </c>
      <c r="Y1026" s="31">
        <v>2280</v>
      </c>
      <c r="Z1026" s="31">
        <v>1480</v>
      </c>
      <c r="AA1026" s="31">
        <v>450</v>
      </c>
      <c r="AB1026" s="31">
        <v>1.52</v>
      </c>
    </row>
    <row r="1027" customHeight="1" spans="2:28">
      <c r="B1027" s="6" t="str">
        <f t="shared" si="16"/>
        <v>43115-DT1EJ20250101-A-TIIU6456266-PARTS</v>
      </c>
      <c r="C1027" s="29" t="s">
        <v>80</v>
      </c>
      <c r="D1027" s="30" t="s">
        <v>81</v>
      </c>
      <c r="E1027" s="30" t="s">
        <v>740</v>
      </c>
      <c r="F1027" s="30" t="s">
        <v>741</v>
      </c>
      <c r="G1027" s="31" t="s">
        <v>84</v>
      </c>
      <c r="H1027" s="31"/>
      <c r="I1027" s="31" t="s">
        <v>85</v>
      </c>
      <c r="J1027" s="31" t="s">
        <v>743</v>
      </c>
      <c r="K1027" s="31" t="s">
        <v>664</v>
      </c>
      <c r="L1027" s="31">
        <v>8708923509</v>
      </c>
      <c r="M1027" s="32" t="s">
        <v>665</v>
      </c>
      <c r="N1027" s="33" t="s">
        <v>666</v>
      </c>
      <c r="O1027" s="31">
        <v>2</v>
      </c>
      <c r="P1027" s="34">
        <v>767.68</v>
      </c>
      <c r="Q1027" s="34">
        <v>123.06</v>
      </c>
      <c r="R1027" s="34">
        <v>3.54</v>
      </c>
      <c r="S1027" s="34">
        <v>830.98</v>
      </c>
      <c r="T1027" s="35">
        <v>16.15</v>
      </c>
      <c r="U1027" s="35">
        <v>32.3</v>
      </c>
      <c r="V1027" s="35">
        <v>19.61</v>
      </c>
      <c r="W1027" s="35">
        <v>39.22</v>
      </c>
      <c r="X1027" s="34">
        <v>1661.96</v>
      </c>
      <c r="Y1027" s="31"/>
      <c r="Z1027" s="31"/>
      <c r="AA1027" s="31"/>
      <c r="AB1027" s="31"/>
    </row>
    <row r="1028" spans="2:28">
      <c r="B1028" s="6" t="str">
        <f t="shared" si="16"/>
        <v>43115-DT1EJ20250101-A-TIIU6456271-PARTS</v>
      </c>
      <c r="C1028" t="s">
        <v>80</v>
      </c>
      <c r="D1028" t="s">
        <v>81</v>
      </c>
      <c r="E1028" t="s">
        <v>744</v>
      </c>
      <c r="F1028" t="s">
        <v>745</v>
      </c>
      <c r="G1028" s="1" t="s">
        <v>84</v>
      </c>
      <c r="I1028" s="1" t="s">
        <v>85</v>
      </c>
      <c r="J1028" s="1" t="s">
        <v>746</v>
      </c>
      <c r="K1028" s="1" t="s">
        <v>661</v>
      </c>
      <c r="L1028">
        <v>8708809909</v>
      </c>
      <c r="M1028" s="2" t="s">
        <v>662</v>
      </c>
      <c r="N1028" s="3" t="s">
        <v>663</v>
      </c>
      <c r="O1028" s="1">
        <v>2</v>
      </c>
      <c r="P1028" s="4">
        <v>2524.35</v>
      </c>
      <c r="Q1028" s="4">
        <v>404.4</v>
      </c>
      <c r="R1028" s="4">
        <v>11.64</v>
      </c>
      <c r="S1028" s="4">
        <v>2732.37</v>
      </c>
      <c r="T1028" s="5">
        <v>67.85</v>
      </c>
      <c r="U1028" s="5">
        <v>135.7</v>
      </c>
      <c r="V1028" s="5">
        <v>82.39</v>
      </c>
      <c r="W1028" s="5">
        <v>164.78</v>
      </c>
      <c r="X1028" s="4">
        <v>5464.74</v>
      </c>
      <c r="Y1028">
        <v>2280</v>
      </c>
      <c r="Z1028">
        <v>1480</v>
      </c>
      <c r="AA1028">
        <v>450</v>
      </c>
      <c r="AB1028" s="1">
        <v>1.52</v>
      </c>
    </row>
    <row r="1029" spans="2:28">
      <c r="B1029" s="6" t="str">
        <f t="shared" si="16"/>
        <v>43115-DT1EJ20250101-A-TIIU6456271-PARTS</v>
      </c>
      <c r="C1029" t="s">
        <v>80</v>
      </c>
      <c r="D1029" t="s">
        <v>81</v>
      </c>
      <c r="E1029" t="s">
        <v>744</v>
      </c>
      <c r="F1029" t="s">
        <v>745</v>
      </c>
      <c r="G1029" s="1" t="s">
        <v>84</v>
      </c>
      <c r="I1029" s="1" t="s">
        <v>85</v>
      </c>
      <c r="J1029" s="1" t="s">
        <v>746</v>
      </c>
      <c r="K1029" s="1" t="s">
        <v>664</v>
      </c>
      <c r="L1029">
        <v>8708923509</v>
      </c>
      <c r="M1029" s="2" t="s">
        <v>665</v>
      </c>
      <c r="N1029" s="3" t="s">
        <v>666</v>
      </c>
      <c r="O1029" s="1">
        <v>2</v>
      </c>
      <c r="P1029" s="4">
        <v>767.68</v>
      </c>
      <c r="Q1029" s="4">
        <v>123.06</v>
      </c>
      <c r="R1029" s="4">
        <v>3.54</v>
      </c>
      <c r="S1029" s="4">
        <v>830.98</v>
      </c>
      <c r="T1029" s="5">
        <v>16.15</v>
      </c>
      <c r="U1029" s="5">
        <v>32.3</v>
      </c>
      <c r="V1029" s="5">
        <v>19.61</v>
      </c>
      <c r="W1029" s="5">
        <v>39.22</v>
      </c>
      <c r="X1029" s="4">
        <v>1661.96</v>
      </c>
    </row>
    <row r="1030" spans="2:28">
      <c r="B1030" s="6" t="str">
        <f t="shared" si="16"/>
        <v>43115-DT1EJ20250101-A-TIIU6456271-PARTS</v>
      </c>
      <c r="C1030" t="s">
        <v>80</v>
      </c>
      <c r="D1030" t="s">
        <v>81</v>
      </c>
      <c r="E1030" t="s">
        <v>744</v>
      </c>
      <c r="F1030" t="s">
        <v>745</v>
      </c>
      <c r="G1030" s="1" t="s">
        <v>84</v>
      </c>
      <c r="I1030" s="1" t="s">
        <v>85</v>
      </c>
      <c r="J1030" s="1" t="s">
        <v>747</v>
      </c>
      <c r="K1030" s="1" t="s">
        <v>661</v>
      </c>
      <c r="L1030">
        <v>8708809909</v>
      </c>
      <c r="M1030" s="2" t="s">
        <v>662</v>
      </c>
      <c r="N1030" s="3" t="s">
        <v>663</v>
      </c>
      <c r="O1030" s="1">
        <v>2</v>
      </c>
      <c r="P1030" s="4">
        <v>2524.35</v>
      </c>
      <c r="Q1030" s="4">
        <v>404.4</v>
      </c>
      <c r="R1030" s="4">
        <v>11.64</v>
      </c>
      <c r="S1030" s="4">
        <v>2732.37</v>
      </c>
      <c r="T1030" s="5">
        <v>67.85</v>
      </c>
      <c r="U1030" s="5">
        <v>135.7</v>
      </c>
      <c r="V1030" s="5">
        <v>82.39</v>
      </c>
      <c r="W1030" s="5">
        <v>164.78</v>
      </c>
      <c r="X1030" s="4">
        <v>5464.74</v>
      </c>
      <c r="Y1030">
        <v>2280</v>
      </c>
      <c r="Z1030">
        <v>1480</v>
      </c>
      <c r="AA1030">
        <v>450</v>
      </c>
      <c r="AB1030" s="1">
        <v>1.52</v>
      </c>
    </row>
    <row r="1031" spans="2:28">
      <c r="B1031" s="6" t="str">
        <f t="shared" si="16"/>
        <v>43115-DT1EJ20250101-A-TIIU6456271-PARTS</v>
      </c>
      <c r="C1031" t="s">
        <v>80</v>
      </c>
      <c r="D1031" t="s">
        <v>81</v>
      </c>
      <c r="E1031" t="s">
        <v>744</v>
      </c>
      <c r="F1031" t="s">
        <v>745</v>
      </c>
      <c r="G1031" s="1" t="s">
        <v>84</v>
      </c>
      <c r="I1031" s="1" t="s">
        <v>85</v>
      </c>
      <c r="J1031" s="1" t="s">
        <v>747</v>
      </c>
      <c r="K1031" s="1" t="s">
        <v>664</v>
      </c>
      <c r="L1031">
        <v>8708923509</v>
      </c>
      <c r="M1031" s="2" t="s">
        <v>665</v>
      </c>
      <c r="N1031" s="3" t="s">
        <v>666</v>
      </c>
      <c r="O1031" s="1">
        <v>2</v>
      </c>
      <c r="P1031" s="4">
        <v>767.68</v>
      </c>
      <c r="Q1031" s="4">
        <v>123.06</v>
      </c>
      <c r="R1031" s="4">
        <v>3.54</v>
      </c>
      <c r="S1031" s="4">
        <v>830.98</v>
      </c>
      <c r="T1031" s="5">
        <v>16.15</v>
      </c>
      <c r="U1031" s="5">
        <v>32.3</v>
      </c>
      <c r="V1031" s="5">
        <v>19.61</v>
      </c>
      <c r="W1031" s="5">
        <v>39.22</v>
      </c>
      <c r="X1031" s="4">
        <v>1661.96</v>
      </c>
    </row>
    <row r="1032" customHeight="1" spans="2:28">
      <c r="B1032" s="6" t="str">
        <f t="shared" si="16"/>
        <v>43115-DT1EJ20250101-A-TIIU6456306-PARTS</v>
      </c>
      <c r="C1032" s="29" t="s">
        <v>80</v>
      </c>
      <c r="D1032" s="30" t="s">
        <v>81</v>
      </c>
      <c r="E1032" s="30" t="s">
        <v>748</v>
      </c>
      <c r="F1032" s="30" t="s">
        <v>749</v>
      </c>
      <c r="G1032" s="31" t="s">
        <v>84</v>
      </c>
      <c r="H1032" s="31"/>
      <c r="I1032" s="31" t="s">
        <v>85</v>
      </c>
      <c r="J1032" s="31" t="s">
        <v>750</v>
      </c>
      <c r="K1032" s="31" t="s">
        <v>661</v>
      </c>
      <c r="L1032" s="31">
        <v>8708809909</v>
      </c>
      <c r="M1032" s="32" t="s">
        <v>662</v>
      </c>
      <c r="N1032" s="33" t="s">
        <v>663</v>
      </c>
      <c r="O1032" s="31">
        <v>2</v>
      </c>
      <c r="P1032" s="34">
        <v>2524.35</v>
      </c>
      <c r="Q1032" s="34">
        <v>404.4</v>
      </c>
      <c r="R1032" s="34">
        <v>11.64</v>
      </c>
      <c r="S1032" s="34">
        <v>2732.37</v>
      </c>
      <c r="T1032" s="35">
        <v>67.85</v>
      </c>
      <c r="U1032" s="35">
        <v>135.7</v>
      </c>
      <c r="V1032" s="35">
        <v>82.39</v>
      </c>
      <c r="W1032" s="35">
        <v>164.78</v>
      </c>
      <c r="X1032" s="34">
        <v>5464.74</v>
      </c>
      <c r="Y1032" s="31">
        <v>2280</v>
      </c>
      <c r="Z1032" s="31">
        <v>1480</v>
      </c>
      <c r="AA1032" s="31">
        <v>450</v>
      </c>
      <c r="AB1032" s="31">
        <v>1.52</v>
      </c>
    </row>
    <row r="1033" customHeight="1" spans="2:28">
      <c r="B1033" s="6" t="str">
        <f t="shared" si="16"/>
        <v>43115-DT1EJ20250101-A-TIIU6456306-PARTS</v>
      </c>
      <c r="C1033" s="29" t="s">
        <v>80</v>
      </c>
      <c r="D1033" s="30" t="s">
        <v>81</v>
      </c>
      <c r="E1033" s="30" t="s">
        <v>748</v>
      </c>
      <c r="F1033" s="30" t="s">
        <v>749</v>
      </c>
      <c r="G1033" s="31" t="s">
        <v>84</v>
      </c>
      <c r="H1033" s="31"/>
      <c r="I1033" s="31" t="s">
        <v>85</v>
      </c>
      <c r="J1033" s="31" t="s">
        <v>750</v>
      </c>
      <c r="K1033" s="31" t="s">
        <v>664</v>
      </c>
      <c r="L1033" s="31">
        <v>8708923509</v>
      </c>
      <c r="M1033" s="32" t="s">
        <v>665</v>
      </c>
      <c r="N1033" s="33" t="s">
        <v>666</v>
      </c>
      <c r="O1033" s="31">
        <v>2</v>
      </c>
      <c r="P1033" s="34">
        <v>767.68</v>
      </c>
      <c r="Q1033" s="34">
        <v>123.06</v>
      </c>
      <c r="R1033" s="34">
        <v>3.54</v>
      </c>
      <c r="S1033" s="34">
        <v>830.98</v>
      </c>
      <c r="T1033" s="35">
        <v>16.15</v>
      </c>
      <c r="U1033" s="35">
        <v>32.3</v>
      </c>
      <c r="V1033" s="35">
        <v>19.61</v>
      </c>
      <c r="W1033" s="35">
        <v>39.22</v>
      </c>
      <c r="X1033" s="34">
        <v>1661.96</v>
      </c>
      <c r="Y1033" s="31"/>
      <c r="Z1033" s="31"/>
      <c r="AA1033" s="31"/>
      <c r="AB1033" s="31"/>
    </row>
    <row r="1034" customHeight="1" spans="2:28">
      <c r="B1034" s="6" t="str">
        <f t="shared" si="16"/>
        <v>43115-DT1EJ20250101-A-TIIU6456306-PARTS</v>
      </c>
      <c r="C1034" s="29" t="s">
        <v>80</v>
      </c>
      <c r="D1034" s="30" t="s">
        <v>81</v>
      </c>
      <c r="E1034" s="30" t="s">
        <v>748</v>
      </c>
      <c r="F1034" s="30" t="s">
        <v>749</v>
      </c>
      <c r="G1034" s="31" t="s">
        <v>84</v>
      </c>
      <c r="H1034" s="31"/>
      <c r="I1034" s="31" t="s">
        <v>85</v>
      </c>
      <c r="J1034" s="31" t="s">
        <v>751</v>
      </c>
      <c r="K1034" s="31" t="s">
        <v>661</v>
      </c>
      <c r="L1034" s="31">
        <v>8708809909</v>
      </c>
      <c r="M1034" s="32" t="s">
        <v>662</v>
      </c>
      <c r="N1034" s="33" t="s">
        <v>663</v>
      </c>
      <c r="O1034" s="31">
        <v>2</v>
      </c>
      <c r="P1034" s="34">
        <v>2524.35</v>
      </c>
      <c r="Q1034" s="34">
        <v>404.4</v>
      </c>
      <c r="R1034" s="34">
        <v>11.64</v>
      </c>
      <c r="S1034" s="34">
        <v>2732.37</v>
      </c>
      <c r="T1034" s="35">
        <v>67.85</v>
      </c>
      <c r="U1034" s="35">
        <v>135.7</v>
      </c>
      <c r="V1034" s="35">
        <v>82.39</v>
      </c>
      <c r="W1034" s="35">
        <v>164.78</v>
      </c>
      <c r="X1034" s="34">
        <v>5464.74</v>
      </c>
      <c r="Y1034" s="31">
        <v>2280</v>
      </c>
      <c r="Z1034" s="31">
        <v>1480</v>
      </c>
      <c r="AA1034" s="31">
        <v>450</v>
      </c>
      <c r="AB1034" s="31">
        <v>1.52</v>
      </c>
    </row>
    <row r="1035" customHeight="1" spans="2:28">
      <c r="B1035" s="6" t="str">
        <f t="shared" si="16"/>
        <v>43115-DT1EJ20250101-A-TIIU6456306-PARTS</v>
      </c>
      <c r="C1035" s="29" t="s">
        <v>80</v>
      </c>
      <c r="D1035" s="30" t="s">
        <v>81</v>
      </c>
      <c r="E1035" s="30" t="s">
        <v>748</v>
      </c>
      <c r="F1035" s="30" t="s">
        <v>749</v>
      </c>
      <c r="G1035" s="31" t="s">
        <v>84</v>
      </c>
      <c r="H1035" s="31"/>
      <c r="I1035" s="31" t="s">
        <v>85</v>
      </c>
      <c r="J1035" s="31" t="s">
        <v>751</v>
      </c>
      <c r="K1035" s="31" t="s">
        <v>664</v>
      </c>
      <c r="L1035" s="31">
        <v>8708923509</v>
      </c>
      <c r="M1035" s="32" t="s">
        <v>665</v>
      </c>
      <c r="N1035" s="33" t="s">
        <v>666</v>
      </c>
      <c r="O1035" s="31">
        <v>2</v>
      </c>
      <c r="P1035" s="34">
        <v>767.68</v>
      </c>
      <c r="Q1035" s="34">
        <v>123.06</v>
      </c>
      <c r="R1035" s="34">
        <v>3.54</v>
      </c>
      <c r="S1035" s="34">
        <v>830.98</v>
      </c>
      <c r="T1035" s="35">
        <v>16.15</v>
      </c>
      <c r="U1035" s="35">
        <v>32.3</v>
      </c>
      <c r="V1035" s="35">
        <v>19.61</v>
      </c>
      <c r="W1035" s="35">
        <v>39.22</v>
      </c>
      <c r="X1035" s="34">
        <v>1661.96</v>
      </c>
      <c r="Y1035" s="31"/>
      <c r="Z1035" s="31"/>
      <c r="AA1035" s="31"/>
      <c r="AB1035" s="31"/>
    </row>
    <row r="1036" spans="2:28">
      <c r="B1036" s="6" t="str">
        <f t="shared" si="16"/>
        <v>43115-DT1EJ20250101-A-TIIU6456374-PARTS</v>
      </c>
      <c r="C1036" t="s">
        <v>80</v>
      </c>
      <c r="D1036" t="s">
        <v>81</v>
      </c>
      <c r="E1036" t="s">
        <v>752</v>
      </c>
      <c r="F1036" t="s">
        <v>753</v>
      </c>
      <c r="G1036" s="1" t="s">
        <v>84</v>
      </c>
      <c r="I1036" s="1" t="s">
        <v>85</v>
      </c>
      <c r="J1036" s="1" t="s">
        <v>754</v>
      </c>
      <c r="K1036" s="1" t="s">
        <v>661</v>
      </c>
      <c r="L1036">
        <v>8708809909</v>
      </c>
      <c r="M1036" s="2" t="s">
        <v>662</v>
      </c>
      <c r="N1036" s="3" t="s">
        <v>663</v>
      </c>
      <c r="O1036" s="1">
        <v>2</v>
      </c>
      <c r="P1036" s="4">
        <v>2524.35</v>
      </c>
      <c r="Q1036" s="4">
        <v>404.4</v>
      </c>
      <c r="R1036" s="4">
        <v>11.64</v>
      </c>
      <c r="S1036" s="4">
        <v>2732.37</v>
      </c>
      <c r="T1036" s="5">
        <v>67.85</v>
      </c>
      <c r="U1036" s="5">
        <v>135.7</v>
      </c>
      <c r="V1036" s="5">
        <v>82.39</v>
      </c>
      <c r="W1036" s="5">
        <v>164.78</v>
      </c>
      <c r="X1036" s="4">
        <v>5464.74</v>
      </c>
      <c r="Y1036">
        <v>2280</v>
      </c>
      <c r="Z1036">
        <v>1480</v>
      </c>
      <c r="AA1036">
        <v>450</v>
      </c>
      <c r="AB1036" s="1">
        <v>1.52</v>
      </c>
    </row>
    <row r="1037" spans="2:28">
      <c r="B1037" s="6" t="str">
        <f t="shared" si="16"/>
        <v>43115-DT1EJ20250101-A-TIIU6456374-PARTS</v>
      </c>
      <c r="C1037" t="s">
        <v>80</v>
      </c>
      <c r="D1037" t="s">
        <v>81</v>
      </c>
      <c r="E1037" t="s">
        <v>752</v>
      </c>
      <c r="F1037" t="s">
        <v>753</v>
      </c>
      <c r="G1037" s="1" t="s">
        <v>84</v>
      </c>
      <c r="I1037" s="1" t="s">
        <v>85</v>
      </c>
      <c r="J1037" s="1" t="s">
        <v>754</v>
      </c>
      <c r="K1037" s="1" t="s">
        <v>664</v>
      </c>
      <c r="L1037">
        <v>8708923509</v>
      </c>
      <c r="M1037" s="2" t="s">
        <v>665</v>
      </c>
      <c r="N1037" s="3" t="s">
        <v>666</v>
      </c>
      <c r="O1037" s="1">
        <v>2</v>
      </c>
      <c r="P1037" s="4">
        <v>767.68</v>
      </c>
      <c r="Q1037" s="4">
        <v>123.06</v>
      </c>
      <c r="R1037" s="4">
        <v>3.54</v>
      </c>
      <c r="S1037" s="4">
        <v>830.98</v>
      </c>
      <c r="T1037" s="5">
        <v>16.15</v>
      </c>
      <c r="U1037" s="5">
        <v>32.3</v>
      </c>
      <c r="V1037" s="5">
        <v>19.61</v>
      </c>
      <c r="W1037" s="5">
        <v>39.22</v>
      </c>
      <c r="X1037" s="4">
        <v>1661.96</v>
      </c>
    </row>
    <row r="1038" spans="2:28">
      <c r="B1038" s="6" t="str">
        <f t="shared" si="16"/>
        <v>43115-DT1EJ20250101-A-TIIU6456374-PARTS</v>
      </c>
      <c r="C1038" t="s">
        <v>80</v>
      </c>
      <c r="D1038" t="s">
        <v>81</v>
      </c>
      <c r="E1038" t="s">
        <v>752</v>
      </c>
      <c r="F1038" t="s">
        <v>753</v>
      </c>
      <c r="G1038" s="1" t="s">
        <v>84</v>
      </c>
      <c r="I1038" s="1" t="s">
        <v>85</v>
      </c>
      <c r="J1038" s="1" t="s">
        <v>755</v>
      </c>
      <c r="K1038" s="1" t="s">
        <v>661</v>
      </c>
      <c r="L1038">
        <v>8708809909</v>
      </c>
      <c r="M1038" s="2" t="s">
        <v>662</v>
      </c>
      <c r="N1038" s="3" t="s">
        <v>663</v>
      </c>
      <c r="O1038" s="1">
        <v>2</v>
      </c>
      <c r="P1038" s="4">
        <v>2524.35</v>
      </c>
      <c r="Q1038" s="4">
        <v>404.4</v>
      </c>
      <c r="R1038" s="4">
        <v>11.64</v>
      </c>
      <c r="S1038" s="4">
        <v>2732.37</v>
      </c>
      <c r="T1038" s="5">
        <v>67.85</v>
      </c>
      <c r="U1038" s="5">
        <v>135.7</v>
      </c>
      <c r="V1038" s="5">
        <v>82.39</v>
      </c>
      <c r="W1038" s="5">
        <v>164.78</v>
      </c>
      <c r="X1038" s="4">
        <v>5464.74</v>
      </c>
      <c r="Y1038">
        <v>2280</v>
      </c>
      <c r="Z1038">
        <v>1480</v>
      </c>
      <c r="AA1038">
        <v>450</v>
      </c>
      <c r="AB1038" s="1">
        <v>1.52</v>
      </c>
    </row>
    <row r="1039" spans="2:28">
      <c r="B1039" s="6" t="str">
        <f t="shared" si="16"/>
        <v>43115-DT1EJ20250101-A-TIIU6456374-PARTS</v>
      </c>
      <c r="C1039" t="s">
        <v>80</v>
      </c>
      <c r="D1039" t="s">
        <v>81</v>
      </c>
      <c r="E1039" t="s">
        <v>752</v>
      </c>
      <c r="F1039" t="s">
        <v>753</v>
      </c>
      <c r="G1039" s="1" t="s">
        <v>84</v>
      </c>
      <c r="I1039" s="1" t="s">
        <v>85</v>
      </c>
      <c r="J1039" s="1" t="s">
        <v>755</v>
      </c>
      <c r="K1039" s="1" t="s">
        <v>664</v>
      </c>
      <c r="L1039">
        <v>8708923509</v>
      </c>
      <c r="M1039" s="2" t="s">
        <v>665</v>
      </c>
      <c r="N1039" s="3" t="s">
        <v>666</v>
      </c>
      <c r="O1039" s="1">
        <v>2</v>
      </c>
      <c r="P1039" s="4">
        <v>767.68</v>
      </c>
      <c r="Q1039" s="4">
        <v>123.06</v>
      </c>
      <c r="R1039" s="4">
        <v>3.54</v>
      </c>
      <c r="S1039" s="4">
        <v>830.98</v>
      </c>
      <c r="T1039" s="5">
        <v>16.15</v>
      </c>
      <c r="U1039" s="5">
        <v>32.3</v>
      </c>
      <c r="V1039" s="5">
        <v>19.61</v>
      </c>
      <c r="W1039" s="5">
        <v>39.22</v>
      </c>
      <c r="X1039" s="4">
        <v>1661.96</v>
      </c>
    </row>
    <row r="1040" spans="2:28">
      <c r="B1040" s="6" t="str">
        <f t="shared" si="16"/>
        <v>43115-DT1EJ20250101-A-TIIU6456991-PARTS</v>
      </c>
      <c r="C1040" t="s">
        <v>80</v>
      </c>
      <c r="D1040" t="s">
        <v>81</v>
      </c>
      <c r="E1040" t="s">
        <v>756</v>
      </c>
      <c r="F1040" t="s">
        <v>757</v>
      </c>
      <c r="G1040" s="1" t="s">
        <v>84</v>
      </c>
      <c r="I1040" s="1" t="s">
        <v>85</v>
      </c>
      <c r="J1040" s="1" t="s">
        <v>758</v>
      </c>
      <c r="K1040" s="1" t="s">
        <v>661</v>
      </c>
      <c r="L1040">
        <v>8708809909</v>
      </c>
      <c r="M1040" s="2" t="s">
        <v>662</v>
      </c>
      <c r="N1040" s="3" t="s">
        <v>663</v>
      </c>
      <c r="O1040" s="1">
        <v>2</v>
      </c>
      <c r="P1040" s="4">
        <v>2524.35</v>
      </c>
      <c r="Q1040" s="4">
        <v>404.4</v>
      </c>
      <c r="R1040" s="4">
        <v>11.64</v>
      </c>
      <c r="S1040" s="4">
        <v>2732.37</v>
      </c>
      <c r="T1040" s="5">
        <v>67.85</v>
      </c>
      <c r="U1040" s="5">
        <v>135.7</v>
      </c>
      <c r="V1040" s="5">
        <v>82.39</v>
      </c>
      <c r="W1040" s="5">
        <v>164.78</v>
      </c>
      <c r="X1040" s="4">
        <v>5464.74</v>
      </c>
      <c r="Y1040">
        <v>2280</v>
      </c>
      <c r="Z1040">
        <v>1480</v>
      </c>
      <c r="AA1040">
        <v>450</v>
      </c>
      <c r="AB1040" s="1">
        <v>1.52</v>
      </c>
    </row>
    <row r="1041" spans="1:28">
      <c r="B1041" s="6" t="str">
        <f t="shared" si="16"/>
        <v>43115-DT1EJ20250101-A-TIIU6456991-PARTS</v>
      </c>
      <c r="C1041" t="s">
        <v>80</v>
      </c>
      <c r="D1041" t="s">
        <v>81</v>
      </c>
      <c r="E1041" t="s">
        <v>756</v>
      </c>
      <c r="F1041" t="s">
        <v>757</v>
      </c>
      <c r="G1041" s="1" t="s">
        <v>84</v>
      </c>
      <c r="I1041" s="1" t="s">
        <v>85</v>
      </c>
      <c r="J1041" s="1" t="s">
        <v>758</v>
      </c>
      <c r="K1041" s="1" t="s">
        <v>664</v>
      </c>
      <c r="L1041">
        <v>8708923509</v>
      </c>
      <c r="M1041" s="2" t="s">
        <v>665</v>
      </c>
      <c r="N1041" s="3" t="s">
        <v>666</v>
      </c>
      <c r="O1041" s="1">
        <v>2</v>
      </c>
      <c r="P1041" s="4">
        <v>767.68</v>
      </c>
      <c r="Q1041" s="4">
        <v>123.06</v>
      </c>
      <c r="R1041" s="4">
        <v>3.54</v>
      </c>
      <c r="S1041" s="4">
        <v>830.98</v>
      </c>
      <c r="T1041" s="5">
        <v>16.15</v>
      </c>
      <c r="U1041" s="5">
        <v>32.3</v>
      </c>
      <c r="V1041" s="5">
        <v>19.61</v>
      </c>
      <c r="W1041" s="5">
        <v>39.22</v>
      </c>
      <c r="X1041" s="4">
        <v>1661.96</v>
      </c>
    </row>
    <row r="1042" spans="1:28">
      <c r="B1042" s="6" t="str">
        <f t="shared" si="16"/>
        <v>43115-DT1EJ20250101-A-TIIU6456991-PARTS</v>
      </c>
      <c r="C1042" t="s">
        <v>80</v>
      </c>
      <c r="D1042" t="s">
        <v>81</v>
      </c>
      <c r="E1042" t="s">
        <v>756</v>
      </c>
      <c r="F1042" t="s">
        <v>757</v>
      </c>
      <c r="G1042" s="1" t="s">
        <v>84</v>
      </c>
      <c r="I1042" s="1" t="s">
        <v>85</v>
      </c>
      <c r="J1042" s="1" t="s">
        <v>759</v>
      </c>
      <c r="K1042" s="1" t="s">
        <v>661</v>
      </c>
      <c r="L1042">
        <v>8708809909</v>
      </c>
      <c r="M1042" s="2" t="s">
        <v>662</v>
      </c>
      <c r="N1042" s="3" t="s">
        <v>663</v>
      </c>
      <c r="O1042" s="1">
        <v>2</v>
      </c>
      <c r="P1042" s="4">
        <v>2524.35</v>
      </c>
      <c r="Q1042" s="4">
        <v>404.4</v>
      </c>
      <c r="R1042" s="4">
        <v>11.64</v>
      </c>
      <c r="S1042" s="4">
        <v>2732.37</v>
      </c>
      <c r="T1042" s="5">
        <v>67.85</v>
      </c>
      <c r="U1042" s="5">
        <v>135.7</v>
      </c>
      <c r="V1042" s="5">
        <v>82.39</v>
      </c>
      <c r="W1042" s="5">
        <v>164.78</v>
      </c>
      <c r="X1042" s="4">
        <v>5464.74</v>
      </c>
      <c r="Y1042">
        <v>2280</v>
      </c>
      <c r="Z1042">
        <v>1480</v>
      </c>
      <c r="AA1042">
        <v>450</v>
      </c>
      <c r="AB1042" s="1">
        <v>1.52</v>
      </c>
    </row>
    <row r="1043" spans="1:28">
      <c r="B1043" s="6" t="str">
        <f t="shared" si="16"/>
        <v>43115-DT1EJ20250101-A-TIIU6456991-PARTS</v>
      </c>
      <c r="C1043" t="s">
        <v>80</v>
      </c>
      <c r="D1043" t="s">
        <v>81</v>
      </c>
      <c r="E1043" t="s">
        <v>756</v>
      </c>
      <c r="F1043" t="s">
        <v>757</v>
      </c>
      <c r="G1043" s="1" t="s">
        <v>84</v>
      </c>
      <c r="I1043" s="1" t="s">
        <v>85</v>
      </c>
      <c r="J1043" s="1" t="s">
        <v>759</v>
      </c>
      <c r="K1043" s="1" t="s">
        <v>664</v>
      </c>
      <c r="L1043">
        <v>8708923509</v>
      </c>
      <c r="M1043" s="2" t="s">
        <v>665</v>
      </c>
      <c r="N1043" s="3" t="s">
        <v>666</v>
      </c>
      <c r="O1043" s="1">
        <v>2</v>
      </c>
      <c r="P1043" s="4">
        <v>767.68</v>
      </c>
      <c r="Q1043" s="4">
        <v>123.06</v>
      </c>
      <c r="R1043" s="4">
        <v>3.54</v>
      </c>
      <c r="S1043" s="4">
        <v>830.98</v>
      </c>
      <c r="T1043" s="5">
        <v>16.15</v>
      </c>
      <c r="U1043" s="5">
        <v>32.3</v>
      </c>
      <c r="V1043" s="5">
        <v>19.61</v>
      </c>
      <c r="W1043" s="5">
        <v>39.22</v>
      </c>
      <c r="X1043" s="4">
        <v>1661.96</v>
      </c>
    </row>
    <row r="1044" spans="1:28">
      <c r="B1044" s="6" t="str">
        <f t="shared" si="16"/>
        <v>43115-DT1EJ20250101-A-TIIU6457853-PARTS</v>
      </c>
      <c r="C1044" t="s">
        <v>80</v>
      </c>
      <c r="D1044" t="s">
        <v>81</v>
      </c>
      <c r="E1044" t="s">
        <v>760</v>
      </c>
      <c r="F1044" t="s">
        <v>761</v>
      </c>
      <c r="G1044" s="1" t="s">
        <v>84</v>
      </c>
      <c r="I1044" s="1" t="s">
        <v>85</v>
      </c>
      <c r="J1044" s="1" t="s">
        <v>762</v>
      </c>
      <c r="K1044" s="1" t="s">
        <v>661</v>
      </c>
      <c r="L1044">
        <v>8708809909</v>
      </c>
      <c r="M1044" s="2" t="s">
        <v>662</v>
      </c>
      <c r="N1044" s="3" t="s">
        <v>663</v>
      </c>
      <c r="O1044" s="1">
        <v>2</v>
      </c>
      <c r="P1044" s="4">
        <v>2524.35</v>
      </c>
      <c r="Q1044" s="4">
        <v>404.4</v>
      </c>
      <c r="R1044" s="4">
        <v>11.64</v>
      </c>
      <c r="S1044" s="4">
        <v>2732.37</v>
      </c>
      <c r="T1044" s="5">
        <v>67.85</v>
      </c>
      <c r="U1044" s="5">
        <v>135.7</v>
      </c>
      <c r="V1044" s="5">
        <v>82.39</v>
      </c>
      <c r="W1044" s="5">
        <v>164.78</v>
      </c>
      <c r="X1044" s="4">
        <v>5464.74</v>
      </c>
      <c r="Y1044">
        <v>2280</v>
      </c>
      <c r="Z1044">
        <v>1480</v>
      </c>
      <c r="AA1044">
        <v>450</v>
      </c>
      <c r="AB1044" s="1">
        <v>1.52</v>
      </c>
    </row>
    <row r="1045" spans="1:28">
      <c r="B1045" s="6" t="str">
        <f t="shared" si="16"/>
        <v>43115-DT1EJ20250101-A-TIIU6457853-PARTS</v>
      </c>
      <c r="C1045" t="s">
        <v>80</v>
      </c>
      <c r="D1045" t="s">
        <v>81</v>
      </c>
      <c r="E1045" t="s">
        <v>760</v>
      </c>
      <c r="F1045" t="s">
        <v>761</v>
      </c>
      <c r="G1045" s="1" t="s">
        <v>84</v>
      </c>
      <c r="I1045" s="1" t="s">
        <v>85</v>
      </c>
      <c r="J1045" s="1" t="s">
        <v>762</v>
      </c>
      <c r="K1045" s="1" t="s">
        <v>664</v>
      </c>
      <c r="L1045">
        <v>8708923509</v>
      </c>
      <c r="M1045" s="2" t="s">
        <v>665</v>
      </c>
      <c r="N1045" s="3" t="s">
        <v>666</v>
      </c>
      <c r="O1045" s="1">
        <v>2</v>
      </c>
      <c r="P1045" s="4">
        <v>767.68</v>
      </c>
      <c r="Q1045" s="4">
        <v>123.06</v>
      </c>
      <c r="R1045" s="4">
        <v>3.54</v>
      </c>
      <c r="S1045" s="4">
        <v>830.98</v>
      </c>
      <c r="T1045" s="5">
        <v>16.15</v>
      </c>
      <c r="U1045" s="5">
        <v>32.3</v>
      </c>
      <c r="V1045" s="5">
        <v>19.61</v>
      </c>
      <c r="W1045" s="5">
        <v>39.22</v>
      </c>
      <c r="X1045" s="4">
        <v>1661.96</v>
      </c>
    </row>
    <row r="1046" spans="1:28">
      <c r="B1046" s="6" t="str">
        <f t="shared" si="16"/>
        <v>43115-DT1EJ20250101-A-TIIU6457853-PARTS</v>
      </c>
      <c r="C1046" t="s">
        <v>80</v>
      </c>
      <c r="D1046" t="s">
        <v>81</v>
      </c>
      <c r="E1046" t="s">
        <v>760</v>
      </c>
      <c r="F1046" t="s">
        <v>761</v>
      </c>
      <c r="G1046" s="1" t="s">
        <v>84</v>
      </c>
      <c r="I1046" s="1" t="s">
        <v>85</v>
      </c>
      <c r="J1046" s="1" t="s">
        <v>763</v>
      </c>
      <c r="K1046" s="1" t="s">
        <v>661</v>
      </c>
      <c r="L1046">
        <v>8708809909</v>
      </c>
      <c r="M1046" s="2" t="s">
        <v>662</v>
      </c>
      <c r="N1046" s="3" t="s">
        <v>663</v>
      </c>
      <c r="O1046" s="1">
        <v>2</v>
      </c>
      <c r="P1046" s="4">
        <v>2524.35</v>
      </c>
      <c r="Q1046" s="4">
        <v>404.4</v>
      </c>
      <c r="R1046" s="4">
        <v>11.64</v>
      </c>
      <c r="S1046" s="4">
        <v>2732.37</v>
      </c>
      <c r="T1046" s="5">
        <v>67.85</v>
      </c>
      <c r="U1046" s="5">
        <v>135.7</v>
      </c>
      <c r="V1046" s="5">
        <v>82.39</v>
      </c>
      <c r="W1046" s="5">
        <v>164.78</v>
      </c>
      <c r="X1046" s="4">
        <v>5464.74</v>
      </c>
      <c r="Y1046">
        <v>2280</v>
      </c>
      <c r="Z1046">
        <v>1480</v>
      </c>
      <c r="AA1046">
        <v>450</v>
      </c>
      <c r="AB1046" s="1">
        <v>1.52</v>
      </c>
    </row>
    <row r="1047" spans="1:28">
      <c r="B1047" s="6" t="str">
        <f t="shared" si="16"/>
        <v>43115-DT1EJ20250101-A-TIIU6457853-PARTS</v>
      </c>
      <c r="C1047" t="s">
        <v>80</v>
      </c>
      <c r="D1047" t="s">
        <v>81</v>
      </c>
      <c r="E1047" t="s">
        <v>760</v>
      </c>
      <c r="F1047" t="s">
        <v>761</v>
      </c>
      <c r="G1047" s="1" t="s">
        <v>84</v>
      </c>
      <c r="I1047" s="1" t="s">
        <v>85</v>
      </c>
      <c r="J1047" s="1" t="s">
        <v>763</v>
      </c>
      <c r="K1047" s="1" t="s">
        <v>664</v>
      </c>
      <c r="L1047">
        <v>8708923509</v>
      </c>
      <c r="M1047" s="2" t="s">
        <v>665</v>
      </c>
      <c r="N1047" s="3" t="s">
        <v>666</v>
      </c>
      <c r="O1047" s="1">
        <v>2</v>
      </c>
      <c r="P1047" s="4">
        <v>767.68</v>
      </c>
      <c r="Q1047" s="4">
        <v>123.06</v>
      </c>
      <c r="R1047" s="4">
        <v>3.54</v>
      </c>
      <c r="S1047" s="4">
        <v>830.98</v>
      </c>
      <c r="T1047" s="5">
        <v>16.15</v>
      </c>
      <c r="U1047" s="5">
        <v>32.3</v>
      </c>
      <c r="V1047" s="5">
        <v>19.61</v>
      </c>
      <c r="W1047" s="5">
        <v>39.22</v>
      </c>
      <c r="X1047" s="4">
        <v>1661.96</v>
      </c>
    </row>
    <row r="1048" spans="1:28">
      <c r="B1048" s="6" t="str">
        <f t="shared" si="16"/>
        <v>43115-DT1EJ20250101-A-TIIU6457982-PARTS</v>
      </c>
      <c r="C1048" t="s">
        <v>80</v>
      </c>
      <c r="D1048" t="s">
        <v>81</v>
      </c>
      <c r="E1048" t="s">
        <v>764</v>
      </c>
      <c r="F1048" t="s">
        <v>765</v>
      </c>
      <c r="G1048" s="1" t="s">
        <v>84</v>
      </c>
      <c r="I1048" s="1" t="s">
        <v>85</v>
      </c>
      <c r="J1048" s="1" t="s">
        <v>766</v>
      </c>
      <c r="K1048" s="1" t="s">
        <v>661</v>
      </c>
      <c r="L1048">
        <v>8708809909</v>
      </c>
      <c r="M1048" s="2" t="s">
        <v>662</v>
      </c>
      <c r="N1048" s="3" t="s">
        <v>663</v>
      </c>
      <c r="O1048" s="1">
        <v>2</v>
      </c>
      <c r="P1048" s="4">
        <v>2524.35</v>
      </c>
      <c r="Q1048" s="4">
        <v>404.4</v>
      </c>
      <c r="R1048" s="4">
        <v>11.64</v>
      </c>
      <c r="S1048" s="4">
        <v>2732.37</v>
      </c>
      <c r="T1048" s="5">
        <v>67.85</v>
      </c>
      <c r="U1048" s="5">
        <v>135.7</v>
      </c>
      <c r="V1048" s="5">
        <v>82.39</v>
      </c>
      <c r="W1048" s="5">
        <v>164.78</v>
      </c>
      <c r="X1048" s="4">
        <v>5464.74</v>
      </c>
      <c r="Y1048">
        <v>2280</v>
      </c>
      <c r="Z1048">
        <v>1480</v>
      </c>
      <c r="AA1048">
        <v>450</v>
      </c>
      <c r="AB1048" s="1">
        <v>1.52</v>
      </c>
    </row>
    <row r="1049" spans="1:28">
      <c r="B1049" s="6" t="str">
        <f t="shared" si="16"/>
        <v>43115-DT1EJ20250101-A-TIIU6457982-PARTS</v>
      </c>
      <c r="C1049" t="s">
        <v>80</v>
      </c>
      <c r="D1049" t="s">
        <v>81</v>
      </c>
      <c r="E1049" t="s">
        <v>764</v>
      </c>
      <c r="F1049" t="s">
        <v>765</v>
      </c>
      <c r="G1049" s="1" t="s">
        <v>84</v>
      </c>
      <c r="I1049" s="1" t="s">
        <v>85</v>
      </c>
      <c r="J1049" s="1" t="s">
        <v>766</v>
      </c>
      <c r="K1049" s="1" t="s">
        <v>664</v>
      </c>
      <c r="L1049">
        <v>8708923509</v>
      </c>
      <c r="M1049" s="2" t="s">
        <v>665</v>
      </c>
      <c r="N1049" s="3" t="s">
        <v>666</v>
      </c>
      <c r="O1049" s="1">
        <v>2</v>
      </c>
      <c r="P1049" s="4">
        <v>767.68</v>
      </c>
      <c r="Q1049" s="4">
        <v>123.06</v>
      </c>
      <c r="R1049" s="4">
        <v>3.54</v>
      </c>
      <c r="S1049" s="4">
        <v>830.98</v>
      </c>
      <c r="T1049" s="5">
        <v>16.15</v>
      </c>
      <c r="U1049" s="5">
        <v>32.3</v>
      </c>
      <c r="V1049" s="5">
        <v>19.61</v>
      </c>
      <c r="W1049" s="5">
        <v>39.22</v>
      </c>
      <c r="X1049" s="4">
        <v>1661.96</v>
      </c>
    </row>
    <row r="1050" spans="1:28">
      <c r="B1050" s="6" t="str">
        <f t="shared" si="16"/>
        <v>43115-DT1EJ20250101-A-TIIU6457982-PARTS</v>
      </c>
      <c r="C1050" t="s">
        <v>80</v>
      </c>
      <c r="D1050" t="s">
        <v>81</v>
      </c>
      <c r="E1050" t="s">
        <v>764</v>
      </c>
      <c r="F1050" t="s">
        <v>765</v>
      </c>
      <c r="G1050" s="1" t="s">
        <v>84</v>
      </c>
      <c r="I1050" s="1" t="s">
        <v>85</v>
      </c>
      <c r="J1050" s="1" t="s">
        <v>767</v>
      </c>
      <c r="K1050" s="1" t="s">
        <v>661</v>
      </c>
      <c r="L1050">
        <v>8708809909</v>
      </c>
      <c r="M1050" s="2" t="s">
        <v>662</v>
      </c>
      <c r="N1050" s="3" t="s">
        <v>663</v>
      </c>
      <c r="O1050" s="1">
        <v>2</v>
      </c>
      <c r="P1050" s="4">
        <v>2524.35</v>
      </c>
      <c r="Q1050" s="4">
        <v>404.4</v>
      </c>
      <c r="R1050" s="4">
        <v>11.64</v>
      </c>
      <c r="S1050" s="4">
        <v>2732.37</v>
      </c>
      <c r="T1050" s="5">
        <v>67.85</v>
      </c>
      <c r="U1050" s="5">
        <v>135.7</v>
      </c>
      <c r="V1050" s="5">
        <v>82.39</v>
      </c>
      <c r="W1050" s="5">
        <v>164.78</v>
      </c>
      <c r="X1050" s="4">
        <v>5464.74</v>
      </c>
      <c r="Y1050">
        <v>2280</v>
      </c>
      <c r="Z1050">
        <v>1480</v>
      </c>
      <c r="AA1050">
        <v>450</v>
      </c>
      <c r="AB1050" s="1">
        <v>1.52</v>
      </c>
    </row>
    <row r="1051" spans="1:28">
      <c r="B1051" s="6" t="str">
        <f t="shared" si="16"/>
        <v>43115-DT1EJ20250101-A-TIIU6457982-PARTS</v>
      </c>
      <c r="C1051" t="s">
        <v>80</v>
      </c>
      <c r="D1051" t="s">
        <v>81</v>
      </c>
      <c r="E1051" t="s">
        <v>764</v>
      </c>
      <c r="F1051" t="s">
        <v>765</v>
      </c>
      <c r="G1051" s="1" t="s">
        <v>84</v>
      </c>
      <c r="I1051" s="1" t="s">
        <v>85</v>
      </c>
      <c r="J1051" s="1" t="s">
        <v>767</v>
      </c>
      <c r="K1051" s="1" t="s">
        <v>664</v>
      </c>
      <c r="L1051">
        <v>8708923509</v>
      </c>
      <c r="M1051" s="2" t="s">
        <v>665</v>
      </c>
      <c r="N1051" s="3" t="s">
        <v>666</v>
      </c>
      <c r="O1051" s="1">
        <v>2</v>
      </c>
      <c r="P1051" s="4">
        <v>767.68</v>
      </c>
      <c r="Q1051" s="4">
        <v>123.06</v>
      </c>
      <c r="R1051" s="4">
        <v>3.54</v>
      </c>
      <c r="S1051" s="4">
        <v>830.98</v>
      </c>
      <c r="T1051" s="5">
        <v>16.15</v>
      </c>
      <c r="U1051" s="5">
        <v>32.3</v>
      </c>
      <c r="V1051" s="5">
        <v>19.61</v>
      </c>
      <c r="W1051" s="5">
        <v>39.22</v>
      </c>
      <c r="X1051" s="4">
        <v>1661.96</v>
      </c>
    </row>
    <row r="1052" customHeight="1" spans="1:28">
      <c r="B1052" s="6" t="str">
        <f t="shared" si="16"/>
        <v>43115-DT1EJ20250101-A-TIIU6458000-PARTS</v>
      </c>
      <c r="C1052" s="29" t="s">
        <v>80</v>
      </c>
      <c r="D1052" s="30" t="s">
        <v>81</v>
      </c>
      <c r="E1052" s="30" t="s">
        <v>768</v>
      </c>
      <c r="F1052" s="30" t="s">
        <v>769</v>
      </c>
      <c r="G1052" s="31" t="s">
        <v>84</v>
      </c>
      <c r="H1052" s="31"/>
      <c r="I1052" s="31" t="s">
        <v>85</v>
      </c>
      <c r="J1052" s="31" t="s">
        <v>770</v>
      </c>
      <c r="K1052" s="31" t="s">
        <v>661</v>
      </c>
      <c r="L1052" s="31">
        <v>8708809909</v>
      </c>
      <c r="M1052" s="32" t="s">
        <v>662</v>
      </c>
      <c r="N1052" s="33" t="s">
        <v>663</v>
      </c>
      <c r="O1052" s="31">
        <v>2</v>
      </c>
      <c r="P1052" s="34">
        <v>2524.35</v>
      </c>
      <c r="Q1052" s="34">
        <v>404.4</v>
      </c>
      <c r="R1052" s="34">
        <v>11.64</v>
      </c>
      <c r="S1052" s="34">
        <v>2732.37</v>
      </c>
      <c r="T1052" s="35">
        <v>67.85</v>
      </c>
      <c r="U1052" s="35">
        <v>135.7</v>
      </c>
      <c r="V1052" s="35">
        <v>82.39</v>
      </c>
      <c r="W1052" s="35">
        <v>164.78</v>
      </c>
      <c r="X1052" s="34">
        <v>5464.74</v>
      </c>
      <c r="Y1052" s="31">
        <v>2280</v>
      </c>
      <c r="Z1052" s="31">
        <v>1480</v>
      </c>
      <c r="AA1052" s="31">
        <v>450</v>
      </c>
      <c r="AB1052" s="31">
        <v>1.52</v>
      </c>
    </row>
    <row r="1053" customHeight="1" spans="1:28">
      <c r="B1053" s="6" t="str">
        <f t="shared" si="16"/>
        <v>43115-DT1EJ20250101-A-TIIU6458000-PARTS</v>
      </c>
      <c r="C1053" s="29" t="s">
        <v>80</v>
      </c>
      <c r="D1053" s="30" t="s">
        <v>81</v>
      </c>
      <c r="E1053" s="30" t="s">
        <v>768</v>
      </c>
      <c r="F1053" s="30" t="s">
        <v>769</v>
      </c>
      <c r="G1053" s="31" t="s">
        <v>84</v>
      </c>
      <c r="H1053" s="31"/>
      <c r="I1053" s="31" t="s">
        <v>85</v>
      </c>
      <c r="J1053" s="31" t="s">
        <v>770</v>
      </c>
      <c r="K1053" s="31" t="s">
        <v>664</v>
      </c>
      <c r="L1053" s="31">
        <v>8708923509</v>
      </c>
      <c r="M1053" s="32" t="s">
        <v>665</v>
      </c>
      <c r="N1053" s="33" t="s">
        <v>666</v>
      </c>
      <c r="O1053" s="31">
        <v>2</v>
      </c>
      <c r="P1053" s="34">
        <v>767.68</v>
      </c>
      <c r="Q1053" s="34">
        <v>123.06</v>
      </c>
      <c r="R1053" s="34">
        <v>3.54</v>
      </c>
      <c r="S1053" s="34">
        <v>830.98</v>
      </c>
      <c r="T1053" s="35">
        <v>16.15</v>
      </c>
      <c r="U1053" s="35">
        <v>32.3</v>
      </c>
      <c r="V1053" s="35">
        <v>19.61</v>
      </c>
      <c r="W1053" s="35">
        <v>39.22</v>
      </c>
      <c r="X1053" s="34">
        <v>1661.96</v>
      </c>
      <c r="Y1053" s="31"/>
      <c r="Z1053" s="31"/>
      <c r="AA1053" s="31"/>
      <c r="AB1053" s="31"/>
    </row>
    <row r="1054" customHeight="1" spans="1:28">
      <c r="A1054" s="6" t="s">
        <v>771</v>
      </c>
      <c r="B1054" s="6" t="str">
        <f t="shared" si="16"/>
        <v>43115-DT1EJ20250101-A-TIIU6458000-PARTS</v>
      </c>
      <c r="C1054" s="29" t="s">
        <v>80</v>
      </c>
      <c r="D1054" s="30" t="s">
        <v>81</v>
      </c>
      <c r="E1054" s="30" t="s">
        <v>768</v>
      </c>
      <c r="F1054" s="30" t="s">
        <v>769</v>
      </c>
      <c r="G1054" s="31" t="s">
        <v>84</v>
      </c>
      <c r="H1054" s="31"/>
      <c r="I1054" s="31" t="s">
        <v>85</v>
      </c>
      <c r="J1054" s="31" t="s">
        <v>772</v>
      </c>
      <c r="K1054" s="31" t="s">
        <v>661</v>
      </c>
      <c r="L1054" s="31">
        <v>8708809909</v>
      </c>
      <c r="M1054" s="32" t="s">
        <v>662</v>
      </c>
      <c r="N1054" s="33" t="s">
        <v>663</v>
      </c>
      <c r="O1054" s="31">
        <v>2</v>
      </c>
      <c r="P1054" s="34">
        <v>2524.35</v>
      </c>
      <c r="Q1054" s="34">
        <v>404.4</v>
      </c>
      <c r="R1054" s="34">
        <v>11.64</v>
      </c>
      <c r="S1054" s="34">
        <v>2732.37</v>
      </c>
      <c r="T1054" s="35">
        <v>67.85</v>
      </c>
      <c r="U1054" s="35">
        <v>135.7</v>
      </c>
      <c r="V1054" s="35">
        <v>82.39</v>
      </c>
      <c r="W1054" s="35">
        <v>164.78</v>
      </c>
      <c r="X1054" s="34">
        <v>5464.74</v>
      </c>
      <c r="Y1054" s="31">
        <v>2280</v>
      </c>
      <c r="Z1054" s="31">
        <v>1480</v>
      </c>
      <c r="AA1054" s="31">
        <v>450</v>
      </c>
      <c r="AB1054" s="31">
        <v>1.52</v>
      </c>
    </row>
    <row r="1055" customHeight="1" spans="1:28">
      <c r="B1055" s="6" t="str">
        <f t="shared" si="16"/>
        <v>43115-DT1EJ20250101-A-TIIU6458000-PARTS</v>
      </c>
      <c r="C1055" s="29" t="s">
        <v>80</v>
      </c>
      <c r="D1055" s="30" t="s">
        <v>81</v>
      </c>
      <c r="E1055" s="30" t="s">
        <v>768</v>
      </c>
      <c r="F1055" s="30" t="s">
        <v>769</v>
      </c>
      <c r="G1055" s="31" t="s">
        <v>84</v>
      </c>
      <c r="H1055" s="31"/>
      <c r="I1055" s="31" t="s">
        <v>85</v>
      </c>
      <c r="J1055" s="31" t="s">
        <v>772</v>
      </c>
      <c r="K1055" s="31" t="s">
        <v>664</v>
      </c>
      <c r="L1055" s="31">
        <v>8708923509</v>
      </c>
      <c r="M1055" s="32" t="s">
        <v>665</v>
      </c>
      <c r="N1055" s="33" t="s">
        <v>666</v>
      </c>
      <c r="O1055" s="31">
        <v>2</v>
      </c>
      <c r="P1055" s="34">
        <v>767.68</v>
      </c>
      <c r="Q1055" s="34">
        <v>123.06</v>
      </c>
      <c r="R1055" s="34">
        <v>3.54</v>
      </c>
      <c r="S1055" s="34">
        <v>830.98</v>
      </c>
      <c r="T1055" s="35">
        <v>16.15</v>
      </c>
      <c r="U1055" s="35">
        <v>32.3</v>
      </c>
      <c r="V1055" s="35">
        <v>19.61</v>
      </c>
      <c r="W1055" s="35">
        <v>39.22</v>
      </c>
      <c r="X1055" s="34">
        <v>1661.96</v>
      </c>
      <c r="Y1055" s="31"/>
      <c r="Z1055" s="31"/>
      <c r="AA1055" s="31"/>
      <c r="AB1055" s="31"/>
    </row>
    <row r="1056" spans="1:28">
      <c r="B1056" s="6" t="str">
        <f t="shared" si="16"/>
        <v>43115-DT1EJ20250101-A-TIIU6459624-PARTS</v>
      </c>
      <c r="C1056" t="s">
        <v>80</v>
      </c>
      <c r="D1056" t="s">
        <v>81</v>
      </c>
      <c r="E1056" t="s">
        <v>773</v>
      </c>
      <c r="F1056" t="s">
        <v>774</v>
      </c>
      <c r="G1056" s="1" t="s">
        <v>84</v>
      </c>
      <c r="I1056" s="1" t="s">
        <v>85</v>
      </c>
      <c r="J1056" s="1" t="s">
        <v>775</v>
      </c>
      <c r="K1056" s="1" t="s">
        <v>661</v>
      </c>
      <c r="L1056">
        <v>8708809909</v>
      </c>
      <c r="M1056" s="2" t="s">
        <v>662</v>
      </c>
      <c r="N1056" s="3" t="s">
        <v>663</v>
      </c>
      <c r="O1056" s="1">
        <v>2</v>
      </c>
      <c r="P1056" s="4">
        <v>2524.35</v>
      </c>
      <c r="Q1056" s="4">
        <v>404.4</v>
      </c>
      <c r="R1056" s="4">
        <v>11.64</v>
      </c>
      <c r="S1056" s="4">
        <v>2732.37</v>
      </c>
      <c r="T1056" s="5">
        <v>67.85</v>
      </c>
      <c r="U1056" s="5">
        <v>135.7</v>
      </c>
      <c r="V1056" s="5">
        <v>82.39</v>
      </c>
      <c r="W1056" s="5">
        <v>164.78</v>
      </c>
      <c r="X1056" s="4">
        <v>5464.74</v>
      </c>
      <c r="Y1056">
        <v>2280</v>
      </c>
      <c r="Z1056">
        <v>1480</v>
      </c>
      <c r="AA1056">
        <v>450</v>
      </c>
      <c r="AB1056" s="1">
        <v>1.52</v>
      </c>
    </row>
    <row r="1057" spans="1:28">
      <c r="B1057" s="6" t="str">
        <f t="shared" si="16"/>
        <v>43115-DT1EJ20250101-A-TIIU6459624-PARTS</v>
      </c>
      <c r="C1057" t="s">
        <v>80</v>
      </c>
      <c r="D1057" t="s">
        <v>81</v>
      </c>
      <c r="E1057" t="s">
        <v>773</v>
      </c>
      <c r="F1057" t="s">
        <v>774</v>
      </c>
      <c r="G1057" s="1" t="s">
        <v>84</v>
      </c>
      <c r="I1057" s="1" t="s">
        <v>85</v>
      </c>
      <c r="J1057" s="1" t="s">
        <v>775</v>
      </c>
      <c r="K1057" s="1" t="s">
        <v>664</v>
      </c>
      <c r="L1057">
        <v>8708923509</v>
      </c>
      <c r="M1057" s="2" t="s">
        <v>665</v>
      </c>
      <c r="N1057" s="3" t="s">
        <v>666</v>
      </c>
      <c r="O1057" s="1">
        <v>2</v>
      </c>
      <c r="P1057" s="4">
        <v>767.68</v>
      </c>
      <c r="Q1057" s="4">
        <v>123.06</v>
      </c>
      <c r="R1057" s="4">
        <v>3.54</v>
      </c>
      <c r="S1057" s="4">
        <v>830.98</v>
      </c>
      <c r="T1057" s="5">
        <v>16.15</v>
      </c>
      <c r="U1057" s="5">
        <v>32.3</v>
      </c>
      <c r="V1057" s="5">
        <v>19.61</v>
      </c>
      <c r="W1057" s="5">
        <v>39.22</v>
      </c>
      <c r="X1057" s="4">
        <v>1661.96</v>
      </c>
    </row>
    <row r="1058" spans="1:28">
      <c r="B1058" s="6" t="str">
        <f t="shared" si="16"/>
        <v>43115-DT1EJ20250101-A-TIIU6459624-PARTS</v>
      </c>
      <c r="C1058" t="s">
        <v>80</v>
      </c>
      <c r="D1058" t="s">
        <v>81</v>
      </c>
      <c r="E1058" t="s">
        <v>773</v>
      </c>
      <c r="F1058" t="s">
        <v>774</v>
      </c>
      <c r="G1058" s="1" t="s">
        <v>84</v>
      </c>
      <c r="I1058" s="1" t="s">
        <v>85</v>
      </c>
      <c r="J1058" s="1" t="s">
        <v>776</v>
      </c>
      <c r="K1058" s="1" t="s">
        <v>661</v>
      </c>
      <c r="L1058">
        <v>8708809909</v>
      </c>
      <c r="M1058" s="2" t="s">
        <v>662</v>
      </c>
      <c r="N1058" s="3" t="s">
        <v>663</v>
      </c>
      <c r="O1058" s="1">
        <v>2</v>
      </c>
      <c r="P1058" s="4">
        <v>2524.35</v>
      </c>
      <c r="Q1058" s="4">
        <v>404.4</v>
      </c>
      <c r="R1058" s="4">
        <v>11.64</v>
      </c>
      <c r="S1058" s="4">
        <v>2732.37</v>
      </c>
      <c r="T1058" s="5">
        <v>67.85</v>
      </c>
      <c r="U1058" s="5">
        <v>135.7</v>
      </c>
      <c r="V1058" s="5">
        <v>82.39</v>
      </c>
      <c r="W1058" s="5">
        <v>164.78</v>
      </c>
      <c r="X1058" s="4">
        <v>5464.74</v>
      </c>
      <c r="Y1058">
        <v>2280</v>
      </c>
      <c r="Z1058">
        <v>1480</v>
      </c>
      <c r="AA1058">
        <v>450</v>
      </c>
      <c r="AB1058" s="1">
        <v>1.52</v>
      </c>
    </row>
    <row r="1059" spans="1:28">
      <c r="B1059" s="6" t="str">
        <f t="shared" si="16"/>
        <v>43115-DT1EJ20250101-A-TIIU6459624-PARTS</v>
      </c>
      <c r="C1059" t="s">
        <v>80</v>
      </c>
      <c r="D1059" t="s">
        <v>81</v>
      </c>
      <c r="E1059" t="s">
        <v>773</v>
      </c>
      <c r="F1059" t="s">
        <v>774</v>
      </c>
      <c r="G1059" s="1" t="s">
        <v>84</v>
      </c>
      <c r="I1059" s="1" t="s">
        <v>85</v>
      </c>
      <c r="J1059" s="1" t="s">
        <v>776</v>
      </c>
      <c r="K1059" s="1" t="s">
        <v>664</v>
      </c>
      <c r="L1059">
        <v>8708923509</v>
      </c>
      <c r="M1059" s="2" t="s">
        <v>665</v>
      </c>
      <c r="N1059" s="3" t="s">
        <v>666</v>
      </c>
      <c r="O1059" s="1">
        <v>2</v>
      </c>
      <c r="P1059" s="4">
        <v>767.68</v>
      </c>
      <c r="Q1059" s="4">
        <v>123.06</v>
      </c>
      <c r="R1059" s="4">
        <v>3.54</v>
      </c>
      <c r="S1059" s="4">
        <v>830.98</v>
      </c>
      <c r="T1059" s="5">
        <v>16.15</v>
      </c>
      <c r="U1059" s="5">
        <v>32.3</v>
      </c>
      <c r="V1059" s="5">
        <v>19.61</v>
      </c>
      <c r="W1059" s="5">
        <v>39.22</v>
      </c>
      <c r="X1059" s="4">
        <v>1661.96</v>
      </c>
    </row>
    <row r="1060" spans="1:28">
      <c r="B1060" s="6" t="str">
        <f t="shared" si="16"/>
        <v>43115-DT1EJ20250101-A-TIIU6459645-PARTS</v>
      </c>
      <c r="C1060" t="s">
        <v>80</v>
      </c>
      <c r="D1060" t="s">
        <v>81</v>
      </c>
      <c r="E1060" t="s">
        <v>777</v>
      </c>
      <c r="F1060" t="s">
        <v>778</v>
      </c>
      <c r="G1060" s="1" t="s">
        <v>84</v>
      </c>
      <c r="I1060" s="1" t="s">
        <v>85</v>
      </c>
      <c r="J1060" s="1" t="s">
        <v>779</v>
      </c>
      <c r="K1060" s="1" t="s">
        <v>661</v>
      </c>
      <c r="L1060">
        <v>8708809909</v>
      </c>
      <c r="M1060" s="2" t="s">
        <v>662</v>
      </c>
      <c r="N1060" s="3" t="s">
        <v>663</v>
      </c>
      <c r="O1060" s="1">
        <v>2</v>
      </c>
      <c r="P1060" s="4">
        <v>2524.35</v>
      </c>
      <c r="Q1060" s="4">
        <v>404.4</v>
      </c>
      <c r="R1060" s="4">
        <v>11.64</v>
      </c>
      <c r="S1060" s="4">
        <v>2732.37</v>
      </c>
      <c r="T1060" s="5">
        <v>67.85</v>
      </c>
      <c r="U1060" s="5">
        <v>135.7</v>
      </c>
      <c r="V1060" s="5">
        <v>82.39</v>
      </c>
      <c r="W1060" s="5">
        <v>164.78</v>
      </c>
      <c r="X1060" s="4">
        <v>5464.74</v>
      </c>
      <c r="Y1060">
        <v>2280</v>
      </c>
      <c r="Z1060">
        <v>1480</v>
      </c>
      <c r="AA1060">
        <v>450</v>
      </c>
      <c r="AB1060" s="1">
        <v>1.52</v>
      </c>
    </row>
    <row r="1061" spans="1:28">
      <c r="B1061" s="6" t="str">
        <f t="shared" si="16"/>
        <v>43115-DT1EJ20250101-A-TIIU6459645-PARTS</v>
      </c>
      <c r="C1061" t="s">
        <v>80</v>
      </c>
      <c r="D1061" t="s">
        <v>81</v>
      </c>
      <c r="E1061" t="s">
        <v>777</v>
      </c>
      <c r="F1061" t="s">
        <v>778</v>
      </c>
      <c r="G1061" s="1" t="s">
        <v>84</v>
      </c>
      <c r="I1061" s="1" t="s">
        <v>85</v>
      </c>
      <c r="J1061" s="1" t="s">
        <v>779</v>
      </c>
      <c r="K1061" s="1" t="s">
        <v>664</v>
      </c>
      <c r="L1061">
        <v>8708923509</v>
      </c>
      <c r="M1061" s="2" t="s">
        <v>665</v>
      </c>
      <c r="N1061" s="3" t="s">
        <v>666</v>
      </c>
      <c r="O1061" s="1">
        <v>2</v>
      </c>
      <c r="P1061" s="4">
        <v>767.68</v>
      </c>
      <c r="Q1061" s="4">
        <v>123.06</v>
      </c>
      <c r="R1061" s="4">
        <v>3.54</v>
      </c>
      <c r="S1061" s="4">
        <v>830.98</v>
      </c>
      <c r="T1061" s="5">
        <v>16.15</v>
      </c>
      <c r="U1061" s="5">
        <v>32.3</v>
      </c>
      <c r="V1061" s="5">
        <v>19.61</v>
      </c>
      <c r="W1061" s="5">
        <v>39.22</v>
      </c>
      <c r="X1061" s="4">
        <v>1661.96</v>
      </c>
    </row>
    <row r="1062" spans="1:28">
      <c r="B1062" s="6" t="str">
        <f t="shared" si="16"/>
        <v>43115-DT1EJ20250101-A-TIIU6459645-PARTS</v>
      </c>
      <c r="C1062" t="s">
        <v>80</v>
      </c>
      <c r="D1062" t="s">
        <v>81</v>
      </c>
      <c r="E1062" t="s">
        <v>777</v>
      </c>
      <c r="F1062" t="s">
        <v>778</v>
      </c>
      <c r="G1062" s="1" t="s">
        <v>84</v>
      </c>
      <c r="I1062" s="1" t="s">
        <v>85</v>
      </c>
      <c r="J1062" s="1" t="s">
        <v>780</v>
      </c>
      <c r="K1062" s="1" t="s">
        <v>661</v>
      </c>
      <c r="L1062">
        <v>8708809909</v>
      </c>
      <c r="M1062" s="2" t="s">
        <v>662</v>
      </c>
      <c r="N1062" s="3" t="s">
        <v>663</v>
      </c>
      <c r="O1062" s="1">
        <v>2</v>
      </c>
      <c r="P1062" s="4">
        <v>2524.35</v>
      </c>
      <c r="Q1062" s="4">
        <v>404.4</v>
      </c>
      <c r="R1062" s="4">
        <v>11.64</v>
      </c>
      <c r="S1062" s="4">
        <v>2732.37</v>
      </c>
      <c r="T1062" s="5">
        <v>67.85</v>
      </c>
      <c r="U1062" s="5">
        <v>135.7</v>
      </c>
      <c r="V1062" s="5">
        <v>82.39</v>
      </c>
      <c r="W1062" s="5">
        <v>164.78</v>
      </c>
      <c r="X1062" s="4">
        <v>5464.74</v>
      </c>
      <c r="Y1062">
        <v>2280</v>
      </c>
      <c r="Z1062">
        <v>1480</v>
      </c>
      <c r="AA1062">
        <v>450</v>
      </c>
      <c r="AB1062" s="1">
        <v>1.52</v>
      </c>
    </row>
    <row r="1063" spans="1:28">
      <c r="B1063" s="6" t="str">
        <f t="shared" si="16"/>
        <v>43115-DT1EJ20250101-A-TIIU6459645-PARTS</v>
      </c>
      <c r="C1063" t="s">
        <v>80</v>
      </c>
      <c r="D1063" t="s">
        <v>81</v>
      </c>
      <c r="E1063" t="s">
        <v>777</v>
      </c>
      <c r="F1063" t="s">
        <v>778</v>
      </c>
      <c r="G1063" s="1" t="s">
        <v>84</v>
      </c>
      <c r="I1063" s="1" t="s">
        <v>85</v>
      </c>
      <c r="J1063" s="1" t="s">
        <v>780</v>
      </c>
      <c r="K1063" s="1" t="s">
        <v>664</v>
      </c>
      <c r="L1063">
        <v>8708923509</v>
      </c>
      <c r="M1063" s="2" t="s">
        <v>665</v>
      </c>
      <c r="N1063" s="3" t="s">
        <v>666</v>
      </c>
      <c r="O1063" s="1">
        <v>2</v>
      </c>
      <c r="P1063" s="4">
        <v>767.68</v>
      </c>
      <c r="Q1063" s="4">
        <v>123.06</v>
      </c>
      <c r="R1063" s="4">
        <v>3.54</v>
      </c>
      <c r="S1063" s="4">
        <v>830.98</v>
      </c>
      <c r="T1063" s="5">
        <v>16.15</v>
      </c>
      <c r="U1063" s="5">
        <v>32.3</v>
      </c>
      <c r="V1063" s="5">
        <v>19.61</v>
      </c>
      <c r="W1063" s="5">
        <v>39.22</v>
      </c>
      <c r="X1063" s="4">
        <v>1661.96</v>
      </c>
    </row>
    <row r="1064" spans="1:28">
      <c r="B1064" s="6" t="str">
        <f t="shared" si="16"/>
        <v>43115-DT1EJ20250101-A-TIIU6459732-PARTS</v>
      </c>
      <c r="C1064" t="s">
        <v>80</v>
      </c>
      <c r="D1064" t="s">
        <v>81</v>
      </c>
      <c r="E1064" t="s">
        <v>781</v>
      </c>
      <c r="F1064" t="s">
        <v>782</v>
      </c>
      <c r="G1064" s="1" t="s">
        <v>84</v>
      </c>
      <c r="I1064" s="1" t="s">
        <v>85</v>
      </c>
      <c r="J1064" s="1" t="s">
        <v>783</v>
      </c>
      <c r="K1064" s="1" t="s">
        <v>661</v>
      </c>
      <c r="L1064">
        <v>8708809909</v>
      </c>
      <c r="M1064" s="2" t="s">
        <v>662</v>
      </c>
      <c r="N1064" s="3" t="s">
        <v>663</v>
      </c>
      <c r="O1064" s="1">
        <v>2</v>
      </c>
      <c r="P1064" s="4">
        <v>2524.35</v>
      </c>
      <c r="Q1064" s="4">
        <v>404.4</v>
      </c>
      <c r="R1064" s="4">
        <v>11.64</v>
      </c>
      <c r="S1064" s="4">
        <v>2732.37</v>
      </c>
      <c r="T1064" s="5">
        <v>67.85</v>
      </c>
      <c r="U1064" s="5">
        <v>135.7</v>
      </c>
      <c r="V1064" s="5">
        <v>82.39</v>
      </c>
      <c r="W1064" s="5">
        <v>164.78</v>
      </c>
      <c r="X1064" s="4">
        <v>5464.74</v>
      </c>
      <c r="Y1064">
        <v>2280</v>
      </c>
      <c r="Z1064">
        <v>1480</v>
      </c>
      <c r="AA1064">
        <v>450</v>
      </c>
      <c r="AB1064" s="1">
        <v>1.52</v>
      </c>
    </row>
    <row r="1065" spans="1:28">
      <c r="B1065" s="6" t="str">
        <f t="shared" si="16"/>
        <v>43115-DT1EJ20250101-A-TIIU6459732-PARTS</v>
      </c>
      <c r="C1065" t="s">
        <v>80</v>
      </c>
      <c r="D1065" t="s">
        <v>81</v>
      </c>
      <c r="E1065" t="s">
        <v>781</v>
      </c>
      <c r="F1065" t="s">
        <v>782</v>
      </c>
      <c r="G1065" s="1" t="s">
        <v>84</v>
      </c>
      <c r="I1065" s="1" t="s">
        <v>85</v>
      </c>
      <c r="J1065" s="1" t="s">
        <v>783</v>
      </c>
      <c r="K1065" s="1" t="s">
        <v>664</v>
      </c>
      <c r="L1065">
        <v>8708923509</v>
      </c>
      <c r="M1065" s="2" t="s">
        <v>665</v>
      </c>
      <c r="N1065" s="3" t="s">
        <v>666</v>
      </c>
      <c r="O1065" s="1">
        <v>2</v>
      </c>
      <c r="P1065" s="4">
        <v>767.68</v>
      </c>
      <c r="Q1065" s="4">
        <v>123.06</v>
      </c>
      <c r="R1065" s="4">
        <v>3.54</v>
      </c>
      <c r="S1065" s="4">
        <v>830.98</v>
      </c>
      <c r="T1065" s="5">
        <v>16.15</v>
      </c>
      <c r="U1065" s="5">
        <v>32.3</v>
      </c>
      <c r="V1065" s="5">
        <v>19.61</v>
      </c>
      <c r="W1065" s="5">
        <v>39.22</v>
      </c>
      <c r="X1065" s="4">
        <v>1661.96</v>
      </c>
    </row>
    <row r="1066" spans="1:28">
      <c r="B1066" s="6" t="str">
        <f t="shared" si="16"/>
        <v>43115-DT1EJ20250101-A-TIIU6459732-PARTS</v>
      </c>
      <c r="C1066" t="s">
        <v>80</v>
      </c>
      <c r="D1066" t="s">
        <v>81</v>
      </c>
      <c r="E1066" t="s">
        <v>781</v>
      </c>
      <c r="F1066" t="s">
        <v>782</v>
      </c>
      <c r="G1066" s="1" t="s">
        <v>84</v>
      </c>
      <c r="I1066" s="1" t="s">
        <v>85</v>
      </c>
      <c r="J1066" s="1" t="s">
        <v>784</v>
      </c>
      <c r="K1066" s="1" t="s">
        <v>661</v>
      </c>
      <c r="L1066">
        <v>8708809909</v>
      </c>
      <c r="M1066" s="2" t="s">
        <v>662</v>
      </c>
      <c r="N1066" s="3" t="s">
        <v>663</v>
      </c>
      <c r="O1066" s="1">
        <v>2</v>
      </c>
      <c r="P1066" s="4">
        <v>2524.35</v>
      </c>
      <c r="Q1066" s="4">
        <v>404.4</v>
      </c>
      <c r="R1066" s="4">
        <v>11.64</v>
      </c>
      <c r="S1066" s="4">
        <v>2732.37</v>
      </c>
      <c r="T1066" s="5">
        <v>67.85</v>
      </c>
      <c r="U1066" s="5">
        <v>135.7</v>
      </c>
      <c r="V1066" s="5">
        <v>82.39</v>
      </c>
      <c r="W1066" s="5">
        <v>164.78</v>
      </c>
      <c r="X1066" s="4">
        <v>5464.74</v>
      </c>
      <c r="Y1066">
        <v>2280</v>
      </c>
      <c r="Z1066">
        <v>1480</v>
      </c>
      <c r="AA1066">
        <v>450</v>
      </c>
      <c r="AB1066" s="1">
        <v>1.52</v>
      </c>
    </row>
    <row r="1067" spans="1:28">
      <c r="B1067" s="6" t="str">
        <f t="shared" si="16"/>
        <v>43115-DT1EJ20250101-A-TIIU6459732-PARTS</v>
      </c>
      <c r="C1067" t="s">
        <v>80</v>
      </c>
      <c r="D1067" t="s">
        <v>81</v>
      </c>
      <c r="E1067" t="s">
        <v>781</v>
      </c>
      <c r="F1067" t="s">
        <v>782</v>
      </c>
      <c r="G1067" s="1" t="s">
        <v>84</v>
      </c>
      <c r="I1067" s="1" t="s">
        <v>85</v>
      </c>
      <c r="J1067" s="1" t="s">
        <v>784</v>
      </c>
      <c r="K1067" s="1" t="s">
        <v>664</v>
      </c>
      <c r="L1067">
        <v>8708923509</v>
      </c>
      <c r="M1067" s="2" t="s">
        <v>665</v>
      </c>
      <c r="N1067" s="3" t="s">
        <v>666</v>
      </c>
      <c r="O1067" s="1">
        <v>2</v>
      </c>
      <c r="P1067" s="4">
        <v>767.68</v>
      </c>
      <c r="Q1067" s="4">
        <v>123.06</v>
      </c>
      <c r="R1067" s="4">
        <v>3.54</v>
      </c>
      <c r="S1067" s="4">
        <v>830.98</v>
      </c>
      <c r="T1067" s="5">
        <v>16.15</v>
      </c>
      <c r="U1067" s="5">
        <v>32.3</v>
      </c>
      <c r="V1067" s="5">
        <v>19.61</v>
      </c>
      <c r="W1067" s="5">
        <v>39.22</v>
      </c>
      <c r="X1067" s="4">
        <v>1661.96</v>
      </c>
    </row>
    <row r="1068" customHeight="1" spans="1:28">
      <c r="B1068" s="6" t="str">
        <f t="shared" si="16"/>
        <v>43115-DT1EJ20250101-B-TIIU6128400-BODY</v>
      </c>
      <c r="C1068" s="29" t="s">
        <v>785</v>
      </c>
      <c r="D1068" s="30" t="s">
        <v>786</v>
      </c>
      <c r="E1068" s="30" t="s">
        <v>658</v>
      </c>
      <c r="F1068" s="30" t="s">
        <v>659</v>
      </c>
      <c r="G1068" s="31" t="s">
        <v>787</v>
      </c>
      <c r="H1068" s="31"/>
      <c r="I1068" s="31" t="s">
        <v>85</v>
      </c>
      <c r="J1068" s="31" t="s">
        <v>788</v>
      </c>
      <c r="K1068" s="31" t="s">
        <v>789</v>
      </c>
      <c r="L1068" s="31">
        <v>8707109000</v>
      </c>
      <c r="M1068" s="32" t="s">
        <v>790</v>
      </c>
      <c r="N1068" s="33" t="s">
        <v>791</v>
      </c>
      <c r="O1068" s="31">
        <v>1</v>
      </c>
      <c r="P1068" s="34">
        <v>54551.25</v>
      </c>
      <c r="Q1068" s="34">
        <v>9488</v>
      </c>
      <c r="R1068" s="34">
        <v>138</v>
      </c>
      <c r="S1068" s="34">
        <v>64177.25</v>
      </c>
      <c r="T1068" s="35">
        <v>880</v>
      </c>
      <c r="U1068" s="35">
        <v>880</v>
      </c>
      <c r="V1068" s="35">
        <v>953</v>
      </c>
      <c r="W1068" s="35">
        <v>953</v>
      </c>
      <c r="X1068" s="34">
        <v>64177.25</v>
      </c>
      <c r="Y1068" s="31">
        <v>2280</v>
      </c>
      <c r="Z1068" s="31">
        <v>5100</v>
      </c>
      <c r="AA1068" s="31">
        <v>1320</v>
      </c>
      <c r="AB1068" s="31">
        <v>15.35</v>
      </c>
    </row>
    <row r="1069" customHeight="1" spans="1:28">
      <c r="B1069" s="6" t="str">
        <f t="shared" si="16"/>
        <v>43115-DT1EJ20250101-B-TIIU6128400-BODY</v>
      </c>
      <c r="C1069" s="29" t="s">
        <v>785</v>
      </c>
      <c r="D1069" s="30" t="s">
        <v>786</v>
      </c>
      <c r="E1069" s="30" t="s">
        <v>658</v>
      </c>
      <c r="F1069" s="30" t="s">
        <v>659</v>
      </c>
      <c r="G1069" s="31" t="s">
        <v>787</v>
      </c>
      <c r="H1069" s="31"/>
      <c r="I1069" s="31" t="s">
        <v>85</v>
      </c>
      <c r="J1069" s="31" t="s">
        <v>792</v>
      </c>
      <c r="K1069" s="31" t="s">
        <v>789</v>
      </c>
      <c r="L1069" s="31">
        <v>8707109000</v>
      </c>
      <c r="M1069" s="32" t="s">
        <v>790</v>
      </c>
      <c r="N1069" s="33" t="s">
        <v>791</v>
      </c>
      <c r="O1069" s="31">
        <v>1</v>
      </c>
      <c r="P1069" s="34">
        <v>54551.25</v>
      </c>
      <c r="Q1069" s="34">
        <v>9488</v>
      </c>
      <c r="R1069" s="34">
        <v>138</v>
      </c>
      <c r="S1069" s="34">
        <v>64177.25</v>
      </c>
      <c r="T1069" s="35">
        <v>880</v>
      </c>
      <c r="U1069" s="35">
        <v>880</v>
      </c>
      <c r="V1069" s="35">
        <v>953</v>
      </c>
      <c r="W1069" s="35">
        <v>953</v>
      </c>
      <c r="X1069" s="34">
        <v>64177.25</v>
      </c>
      <c r="Y1069" s="31">
        <v>2280</v>
      </c>
      <c r="Z1069" s="31">
        <v>5100</v>
      </c>
      <c r="AA1069" s="31">
        <v>1320</v>
      </c>
      <c r="AB1069" s="31">
        <v>15.35</v>
      </c>
    </row>
    <row r="1070" customHeight="1" spans="1:28">
      <c r="B1070" s="6" t="str">
        <f t="shared" si="16"/>
        <v>43115-DT1EJ20250101-B-TIIU6128400-BODY</v>
      </c>
      <c r="C1070" s="29" t="s">
        <v>785</v>
      </c>
      <c r="D1070" s="30" t="s">
        <v>786</v>
      </c>
      <c r="E1070" s="30" t="s">
        <v>658</v>
      </c>
      <c r="F1070" s="30" t="s">
        <v>659</v>
      </c>
      <c r="G1070" s="31" t="s">
        <v>787</v>
      </c>
      <c r="H1070" s="31"/>
      <c r="I1070" s="31" t="s">
        <v>85</v>
      </c>
      <c r="J1070" s="31" t="s">
        <v>793</v>
      </c>
      <c r="K1070" s="31" t="s">
        <v>789</v>
      </c>
      <c r="L1070" s="31">
        <v>8707109000</v>
      </c>
      <c r="M1070" s="32" t="s">
        <v>790</v>
      </c>
      <c r="N1070" s="33" t="s">
        <v>791</v>
      </c>
      <c r="O1070" s="31">
        <v>1</v>
      </c>
      <c r="P1070" s="34">
        <v>54551.25</v>
      </c>
      <c r="Q1070" s="34">
        <v>9488</v>
      </c>
      <c r="R1070" s="34">
        <v>138</v>
      </c>
      <c r="S1070" s="34">
        <v>64177.25</v>
      </c>
      <c r="T1070" s="35">
        <v>880</v>
      </c>
      <c r="U1070" s="35">
        <v>880</v>
      </c>
      <c r="V1070" s="35">
        <v>953</v>
      </c>
      <c r="W1070" s="35">
        <v>953</v>
      </c>
      <c r="X1070" s="34">
        <v>64177.25</v>
      </c>
      <c r="Y1070" s="31">
        <v>2280</v>
      </c>
      <c r="Z1070" s="31">
        <v>5100</v>
      </c>
      <c r="AA1070" s="31">
        <v>1320</v>
      </c>
      <c r="AB1070" s="31">
        <v>15.35</v>
      </c>
    </row>
    <row r="1071" customHeight="1" spans="1:28">
      <c r="A1071" s="6" t="s">
        <v>794</v>
      </c>
      <c r="B1071" s="6" t="str">
        <f t="shared" si="16"/>
        <v>43115-DT1EJ20250101-B-TIIU6128400-BODY</v>
      </c>
      <c r="C1071" s="29" t="s">
        <v>785</v>
      </c>
      <c r="D1071" s="30" t="s">
        <v>786</v>
      </c>
      <c r="E1071" s="30" t="s">
        <v>658</v>
      </c>
      <c r="F1071" s="30" t="s">
        <v>659</v>
      </c>
      <c r="G1071" s="31" t="s">
        <v>787</v>
      </c>
      <c r="H1071" s="31"/>
      <c r="I1071" s="31" t="s">
        <v>85</v>
      </c>
      <c r="J1071" s="31" t="s">
        <v>795</v>
      </c>
      <c r="K1071" s="31" t="s">
        <v>789</v>
      </c>
      <c r="L1071" s="31">
        <v>8707109000</v>
      </c>
      <c r="M1071" s="32" t="s">
        <v>790</v>
      </c>
      <c r="N1071" s="33" t="s">
        <v>791</v>
      </c>
      <c r="O1071" s="31">
        <v>1</v>
      </c>
      <c r="P1071" s="34">
        <v>54551.25</v>
      </c>
      <c r="Q1071" s="34">
        <v>9488</v>
      </c>
      <c r="R1071" s="34">
        <v>138</v>
      </c>
      <c r="S1071" s="34">
        <v>64177.25</v>
      </c>
      <c r="T1071" s="35">
        <v>880</v>
      </c>
      <c r="U1071" s="35">
        <v>880</v>
      </c>
      <c r="V1071" s="35">
        <v>953</v>
      </c>
      <c r="W1071" s="35">
        <v>953</v>
      </c>
      <c r="X1071" s="34">
        <v>64177.25</v>
      </c>
      <c r="Y1071" s="31">
        <v>2280</v>
      </c>
      <c r="Z1071" s="31">
        <v>5100</v>
      </c>
      <c r="AA1071" s="31">
        <v>1320</v>
      </c>
      <c r="AB1071" s="31">
        <v>15.35</v>
      </c>
    </row>
    <row r="1072" spans="1:28">
      <c r="B1072" s="6" t="str">
        <f t="shared" si="16"/>
        <v>43115-DT1EJ20250101-B-TIIU6445894-BODY</v>
      </c>
      <c r="C1072" t="s">
        <v>785</v>
      </c>
      <c r="D1072" t="s">
        <v>786</v>
      </c>
      <c r="E1072" t="s">
        <v>668</v>
      </c>
      <c r="F1072" t="s">
        <v>669</v>
      </c>
      <c r="G1072" s="1" t="s">
        <v>787</v>
      </c>
      <c r="I1072" s="1" t="s">
        <v>85</v>
      </c>
      <c r="J1072" s="1" t="s">
        <v>796</v>
      </c>
      <c r="K1072" s="1" t="s">
        <v>789</v>
      </c>
      <c r="L1072">
        <v>8707109000</v>
      </c>
      <c r="M1072" s="2" t="s">
        <v>790</v>
      </c>
      <c r="N1072" s="3" t="s">
        <v>791</v>
      </c>
      <c r="O1072" s="1">
        <v>1</v>
      </c>
      <c r="P1072" s="4">
        <v>54551.25</v>
      </c>
      <c r="Q1072" s="4">
        <v>9488</v>
      </c>
      <c r="R1072" s="4">
        <v>138</v>
      </c>
      <c r="S1072" s="4">
        <v>64177.25</v>
      </c>
      <c r="T1072" s="5">
        <v>880</v>
      </c>
      <c r="U1072" s="5">
        <v>880</v>
      </c>
      <c r="V1072" s="5">
        <v>953</v>
      </c>
      <c r="W1072" s="5">
        <v>953</v>
      </c>
      <c r="X1072" s="4">
        <v>64177.25</v>
      </c>
      <c r="Y1072">
        <v>2280</v>
      </c>
      <c r="Z1072">
        <v>5100</v>
      </c>
      <c r="AA1072">
        <v>1320</v>
      </c>
      <c r="AB1072" s="1">
        <v>15.35</v>
      </c>
    </row>
    <row r="1073" spans="1:28">
      <c r="B1073" s="6" t="str">
        <f t="shared" si="16"/>
        <v>43115-DT1EJ20250101-B-TIIU6445894-BODY</v>
      </c>
      <c r="C1073" t="s">
        <v>785</v>
      </c>
      <c r="D1073" t="s">
        <v>786</v>
      </c>
      <c r="E1073" t="s">
        <v>668</v>
      </c>
      <c r="F1073" t="s">
        <v>669</v>
      </c>
      <c r="G1073" s="1" t="s">
        <v>787</v>
      </c>
      <c r="I1073" s="1" t="s">
        <v>85</v>
      </c>
      <c r="J1073" s="1" t="s">
        <v>797</v>
      </c>
      <c r="K1073" s="1" t="s">
        <v>789</v>
      </c>
      <c r="L1073">
        <v>8707109000</v>
      </c>
      <c r="M1073" s="2" t="s">
        <v>790</v>
      </c>
      <c r="N1073" s="3" t="s">
        <v>791</v>
      </c>
      <c r="O1073" s="1">
        <v>1</v>
      </c>
      <c r="P1073" s="4">
        <v>54551.25</v>
      </c>
      <c r="Q1073" s="4">
        <v>9488</v>
      </c>
      <c r="R1073" s="4">
        <v>138</v>
      </c>
      <c r="S1073" s="4">
        <v>64177.25</v>
      </c>
      <c r="T1073" s="5">
        <v>880</v>
      </c>
      <c r="U1073" s="5">
        <v>880</v>
      </c>
      <c r="V1073" s="5">
        <v>953</v>
      </c>
      <c r="W1073" s="5">
        <v>953</v>
      </c>
      <c r="X1073" s="4">
        <v>64177.25</v>
      </c>
      <c r="Y1073">
        <v>2280</v>
      </c>
      <c r="Z1073">
        <v>5100</v>
      </c>
      <c r="AA1073">
        <v>1320</v>
      </c>
      <c r="AB1073" s="1">
        <v>15.35</v>
      </c>
    </row>
    <row r="1074" spans="1:28">
      <c r="B1074" s="6" t="str">
        <f t="shared" si="16"/>
        <v>43115-DT1EJ20250101-B-TIIU6445894-BODY</v>
      </c>
      <c r="C1074" t="s">
        <v>785</v>
      </c>
      <c r="D1074" t="s">
        <v>786</v>
      </c>
      <c r="E1074" t="s">
        <v>668</v>
      </c>
      <c r="F1074" t="s">
        <v>669</v>
      </c>
      <c r="G1074" s="1" t="s">
        <v>787</v>
      </c>
      <c r="I1074" s="1" t="s">
        <v>85</v>
      </c>
      <c r="J1074" s="1" t="s">
        <v>798</v>
      </c>
      <c r="K1074" s="1" t="s">
        <v>789</v>
      </c>
      <c r="L1074">
        <v>8707109000</v>
      </c>
      <c r="M1074" s="2" t="s">
        <v>790</v>
      </c>
      <c r="N1074" s="3" t="s">
        <v>791</v>
      </c>
      <c r="O1074" s="1">
        <v>1</v>
      </c>
      <c r="P1074" s="4">
        <v>54551.25</v>
      </c>
      <c r="Q1074" s="4">
        <v>9488</v>
      </c>
      <c r="R1074" s="4">
        <v>138</v>
      </c>
      <c r="S1074" s="4">
        <v>64177.25</v>
      </c>
      <c r="T1074" s="5">
        <v>880</v>
      </c>
      <c r="U1074" s="5">
        <v>880</v>
      </c>
      <c r="V1074" s="5">
        <v>953</v>
      </c>
      <c r="W1074" s="5">
        <v>953</v>
      </c>
      <c r="X1074" s="4">
        <v>64177.25</v>
      </c>
      <c r="Y1074">
        <v>2280</v>
      </c>
      <c r="Z1074">
        <v>5100</v>
      </c>
      <c r="AA1074">
        <v>1320</v>
      </c>
      <c r="AB1074" s="1">
        <v>15.35</v>
      </c>
    </row>
    <row r="1075" spans="1:28">
      <c r="B1075" s="6" t="str">
        <f t="shared" si="16"/>
        <v>43115-DT1EJ20250101-B-TIIU6445894-BODY</v>
      </c>
      <c r="C1075" t="s">
        <v>785</v>
      </c>
      <c r="D1075" t="s">
        <v>786</v>
      </c>
      <c r="E1075" t="s">
        <v>668</v>
      </c>
      <c r="F1075" t="s">
        <v>669</v>
      </c>
      <c r="G1075" s="1" t="s">
        <v>787</v>
      </c>
      <c r="I1075" s="1" t="s">
        <v>85</v>
      </c>
      <c r="J1075" s="1" t="s">
        <v>799</v>
      </c>
      <c r="K1075" s="1" t="s">
        <v>789</v>
      </c>
      <c r="L1075">
        <v>8707109000</v>
      </c>
      <c r="M1075" s="2" t="s">
        <v>790</v>
      </c>
      <c r="N1075" s="3" t="s">
        <v>791</v>
      </c>
      <c r="O1075" s="1">
        <v>1</v>
      </c>
      <c r="P1075" s="4">
        <v>54551.25</v>
      </c>
      <c r="Q1075" s="4">
        <v>9488</v>
      </c>
      <c r="R1075" s="4">
        <v>138</v>
      </c>
      <c r="S1075" s="4">
        <v>64177.25</v>
      </c>
      <c r="T1075" s="5">
        <v>880</v>
      </c>
      <c r="U1075" s="5">
        <v>880</v>
      </c>
      <c r="V1075" s="5">
        <v>953</v>
      </c>
      <c r="W1075" s="5">
        <v>953</v>
      </c>
      <c r="X1075" s="4">
        <v>64177.25</v>
      </c>
      <c r="Y1075">
        <v>2280</v>
      </c>
      <c r="Z1075">
        <v>5100</v>
      </c>
      <c r="AA1075">
        <v>1320</v>
      </c>
      <c r="AB1075" s="1">
        <v>15.35</v>
      </c>
    </row>
    <row r="1076" spans="1:28">
      <c r="B1076" s="6" t="str">
        <f t="shared" si="16"/>
        <v>43115-DT1EJ20250101-B-TIIU6448168-BODY</v>
      </c>
      <c r="C1076" t="s">
        <v>785</v>
      </c>
      <c r="D1076" t="s">
        <v>786</v>
      </c>
      <c r="E1076" t="s">
        <v>672</v>
      </c>
      <c r="F1076" t="s">
        <v>673</v>
      </c>
      <c r="G1076" s="1" t="s">
        <v>787</v>
      </c>
      <c r="I1076" s="1" t="s">
        <v>85</v>
      </c>
      <c r="J1076" s="1" t="s">
        <v>800</v>
      </c>
      <c r="K1076" s="1" t="s">
        <v>789</v>
      </c>
      <c r="L1076">
        <v>8707109000</v>
      </c>
      <c r="M1076" s="2" t="s">
        <v>790</v>
      </c>
      <c r="N1076" s="3" t="s">
        <v>791</v>
      </c>
      <c r="O1076" s="1">
        <v>1</v>
      </c>
      <c r="P1076" s="4">
        <v>54551.25</v>
      </c>
      <c r="Q1076" s="4">
        <v>9488</v>
      </c>
      <c r="R1076" s="4">
        <v>138</v>
      </c>
      <c r="S1076" s="4">
        <v>64177.25</v>
      </c>
      <c r="T1076" s="5">
        <v>880</v>
      </c>
      <c r="U1076" s="5">
        <v>880</v>
      </c>
      <c r="V1076" s="5">
        <v>953</v>
      </c>
      <c r="W1076" s="5">
        <v>953</v>
      </c>
      <c r="X1076" s="4">
        <v>64177.25</v>
      </c>
      <c r="Y1076">
        <v>2280</v>
      </c>
      <c r="Z1076">
        <v>5100</v>
      </c>
      <c r="AA1076">
        <v>1320</v>
      </c>
      <c r="AB1076" s="1">
        <v>15.35</v>
      </c>
    </row>
    <row r="1077" spans="1:28">
      <c r="B1077" s="6" t="str">
        <f t="shared" si="16"/>
        <v>43115-DT1EJ20250101-B-TIIU6448168-BODY</v>
      </c>
      <c r="C1077" t="s">
        <v>785</v>
      </c>
      <c r="D1077" t="s">
        <v>786</v>
      </c>
      <c r="E1077" t="s">
        <v>672</v>
      </c>
      <c r="F1077" t="s">
        <v>673</v>
      </c>
      <c r="G1077" s="1" t="s">
        <v>787</v>
      </c>
      <c r="I1077" s="1" t="s">
        <v>85</v>
      </c>
      <c r="J1077" s="1" t="s">
        <v>801</v>
      </c>
      <c r="K1077" s="1" t="s">
        <v>789</v>
      </c>
      <c r="L1077">
        <v>8707109000</v>
      </c>
      <c r="M1077" s="2" t="s">
        <v>790</v>
      </c>
      <c r="N1077" s="3" t="s">
        <v>791</v>
      </c>
      <c r="O1077" s="1">
        <v>1</v>
      </c>
      <c r="P1077" s="4">
        <v>54551.25</v>
      </c>
      <c r="Q1077" s="4">
        <v>9488</v>
      </c>
      <c r="R1077" s="4">
        <v>138</v>
      </c>
      <c r="S1077" s="4">
        <v>64177.25</v>
      </c>
      <c r="T1077" s="5">
        <v>880</v>
      </c>
      <c r="U1077" s="5">
        <v>880</v>
      </c>
      <c r="V1077" s="5">
        <v>953</v>
      </c>
      <c r="W1077" s="5">
        <v>953</v>
      </c>
      <c r="X1077" s="4">
        <v>64177.25</v>
      </c>
      <c r="Y1077">
        <v>2280</v>
      </c>
      <c r="Z1077">
        <v>5100</v>
      </c>
      <c r="AA1077">
        <v>1320</v>
      </c>
      <c r="AB1077" s="1">
        <v>15.35</v>
      </c>
    </row>
    <row r="1078" spans="1:28">
      <c r="B1078" s="6" t="str">
        <f t="shared" si="16"/>
        <v>43115-DT1EJ20250101-B-TIIU6448168-BODY</v>
      </c>
      <c r="C1078" t="s">
        <v>785</v>
      </c>
      <c r="D1078" t="s">
        <v>786</v>
      </c>
      <c r="E1078" t="s">
        <v>672</v>
      </c>
      <c r="F1078" t="s">
        <v>673</v>
      </c>
      <c r="G1078" s="1" t="s">
        <v>787</v>
      </c>
      <c r="I1078" s="1" t="s">
        <v>85</v>
      </c>
      <c r="J1078" s="1" t="s">
        <v>802</v>
      </c>
      <c r="K1078" s="1" t="s">
        <v>789</v>
      </c>
      <c r="L1078">
        <v>8707109000</v>
      </c>
      <c r="M1078" s="2" t="s">
        <v>790</v>
      </c>
      <c r="N1078" s="3" t="s">
        <v>791</v>
      </c>
      <c r="O1078" s="1">
        <v>1</v>
      </c>
      <c r="P1078" s="4">
        <v>54551.25</v>
      </c>
      <c r="Q1078" s="4">
        <v>9488</v>
      </c>
      <c r="R1078" s="4">
        <v>138</v>
      </c>
      <c r="S1078" s="4">
        <v>64177.25</v>
      </c>
      <c r="T1078" s="5">
        <v>880</v>
      </c>
      <c r="U1078" s="5">
        <v>880</v>
      </c>
      <c r="V1078" s="5">
        <v>953</v>
      </c>
      <c r="W1078" s="5">
        <v>953</v>
      </c>
      <c r="X1078" s="4">
        <v>64177.25</v>
      </c>
      <c r="Y1078">
        <v>2280</v>
      </c>
      <c r="Z1078">
        <v>5100</v>
      </c>
      <c r="AA1078">
        <v>1320</v>
      </c>
      <c r="AB1078" s="1">
        <v>15.35</v>
      </c>
    </row>
    <row r="1079" spans="1:28">
      <c r="B1079" s="6" t="str">
        <f t="shared" si="16"/>
        <v>43115-DT1EJ20250101-B-TIIU6448168-BODY</v>
      </c>
      <c r="C1079" t="s">
        <v>785</v>
      </c>
      <c r="D1079" t="s">
        <v>786</v>
      </c>
      <c r="E1079" t="s">
        <v>672</v>
      </c>
      <c r="F1079" t="s">
        <v>673</v>
      </c>
      <c r="G1079" s="1" t="s">
        <v>787</v>
      </c>
      <c r="I1079" s="1" t="s">
        <v>85</v>
      </c>
      <c r="J1079" s="1" t="s">
        <v>803</v>
      </c>
      <c r="K1079" s="1" t="s">
        <v>789</v>
      </c>
      <c r="L1079">
        <v>8707109000</v>
      </c>
      <c r="M1079" s="2" t="s">
        <v>790</v>
      </c>
      <c r="N1079" s="3" t="s">
        <v>791</v>
      </c>
      <c r="O1079" s="1">
        <v>1</v>
      </c>
      <c r="P1079" s="4">
        <v>54551.25</v>
      </c>
      <c r="Q1079" s="4">
        <v>9488</v>
      </c>
      <c r="R1079" s="4">
        <v>138</v>
      </c>
      <c r="S1079" s="4">
        <v>64177.25</v>
      </c>
      <c r="T1079" s="5">
        <v>880</v>
      </c>
      <c r="U1079" s="5">
        <v>880</v>
      </c>
      <c r="V1079" s="5">
        <v>953</v>
      </c>
      <c r="W1079" s="5">
        <v>953</v>
      </c>
      <c r="X1079" s="4">
        <v>64177.25</v>
      </c>
      <c r="Y1079">
        <v>2280</v>
      </c>
      <c r="Z1079">
        <v>5100</v>
      </c>
      <c r="AA1079">
        <v>1320</v>
      </c>
      <c r="AB1079" s="1">
        <v>15.35</v>
      </c>
    </row>
    <row r="1080" customHeight="1" spans="1:28">
      <c r="B1080" s="6" t="str">
        <f t="shared" si="16"/>
        <v>43115-DT1EJ20250101-B-TIIU6448511-BODY</v>
      </c>
      <c r="C1080" s="29" t="s">
        <v>785</v>
      </c>
      <c r="D1080" s="30" t="s">
        <v>786</v>
      </c>
      <c r="E1080" s="30" t="s">
        <v>676</v>
      </c>
      <c r="F1080" s="30" t="s">
        <v>677</v>
      </c>
      <c r="G1080" s="31" t="s">
        <v>787</v>
      </c>
      <c r="H1080" s="31"/>
      <c r="I1080" s="31" t="s">
        <v>85</v>
      </c>
      <c r="J1080" s="31" t="s">
        <v>804</v>
      </c>
      <c r="K1080" s="31" t="s">
        <v>789</v>
      </c>
      <c r="L1080" s="31">
        <v>8707109000</v>
      </c>
      <c r="M1080" s="32" t="s">
        <v>790</v>
      </c>
      <c r="N1080" s="33" t="s">
        <v>791</v>
      </c>
      <c r="O1080" s="31">
        <v>1</v>
      </c>
      <c r="P1080" s="34">
        <v>54551.25</v>
      </c>
      <c r="Q1080" s="34">
        <v>9488</v>
      </c>
      <c r="R1080" s="34">
        <v>138</v>
      </c>
      <c r="S1080" s="34">
        <v>64177.25</v>
      </c>
      <c r="T1080" s="35">
        <v>880</v>
      </c>
      <c r="U1080" s="35">
        <v>880</v>
      </c>
      <c r="V1080" s="35">
        <v>953</v>
      </c>
      <c r="W1080" s="35">
        <v>953</v>
      </c>
      <c r="X1080" s="34">
        <v>64177.25</v>
      </c>
      <c r="Y1080" s="31">
        <v>2280</v>
      </c>
      <c r="Z1080" s="31">
        <v>5100</v>
      </c>
      <c r="AA1080" s="31">
        <v>1320</v>
      </c>
      <c r="AB1080" s="31">
        <v>15.35</v>
      </c>
    </row>
    <row r="1081" customHeight="1" spans="1:28">
      <c r="B1081" s="6" t="str">
        <f t="shared" si="16"/>
        <v>43115-DT1EJ20250101-B-TIIU6448511-BODY</v>
      </c>
      <c r="C1081" s="29" t="s">
        <v>785</v>
      </c>
      <c r="D1081" s="30" t="s">
        <v>786</v>
      </c>
      <c r="E1081" s="30" t="s">
        <v>676</v>
      </c>
      <c r="F1081" s="30" t="s">
        <v>677</v>
      </c>
      <c r="G1081" s="31" t="s">
        <v>787</v>
      </c>
      <c r="H1081" s="31"/>
      <c r="I1081" s="31" t="s">
        <v>85</v>
      </c>
      <c r="J1081" s="31" t="s">
        <v>805</v>
      </c>
      <c r="K1081" s="31" t="s">
        <v>789</v>
      </c>
      <c r="L1081" s="31">
        <v>8707109000</v>
      </c>
      <c r="M1081" s="32" t="s">
        <v>790</v>
      </c>
      <c r="N1081" s="33" t="s">
        <v>791</v>
      </c>
      <c r="O1081" s="31">
        <v>1</v>
      </c>
      <c r="P1081" s="34">
        <v>54551.25</v>
      </c>
      <c r="Q1081" s="34">
        <v>9488</v>
      </c>
      <c r="R1081" s="34">
        <v>138</v>
      </c>
      <c r="S1081" s="34">
        <v>64177.25</v>
      </c>
      <c r="T1081" s="35">
        <v>880</v>
      </c>
      <c r="U1081" s="35">
        <v>880</v>
      </c>
      <c r="V1081" s="35">
        <v>953</v>
      </c>
      <c r="W1081" s="35">
        <v>953</v>
      </c>
      <c r="X1081" s="34">
        <v>64177.25</v>
      </c>
      <c r="Y1081" s="31">
        <v>2280</v>
      </c>
      <c r="Z1081" s="31">
        <v>5100</v>
      </c>
      <c r="AA1081" s="31">
        <v>1320</v>
      </c>
      <c r="AB1081" s="31">
        <v>15.35</v>
      </c>
    </row>
    <row r="1082" customHeight="1" spans="1:28">
      <c r="B1082" s="6" t="str">
        <f t="shared" si="16"/>
        <v>43115-DT1EJ20250101-B-TIIU6448511-BODY</v>
      </c>
      <c r="C1082" s="29" t="s">
        <v>785</v>
      </c>
      <c r="D1082" s="30" t="s">
        <v>786</v>
      </c>
      <c r="E1082" s="30" t="s">
        <v>676</v>
      </c>
      <c r="F1082" s="30" t="s">
        <v>677</v>
      </c>
      <c r="G1082" s="31" t="s">
        <v>787</v>
      </c>
      <c r="H1082" s="31"/>
      <c r="I1082" s="31" t="s">
        <v>85</v>
      </c>
      <c r="J1082" s="31" t="s">
        <v>806</v>
      </c>
      <c r="K1082" s="31" t="s">
        <v>789</v>
      </c>
      <c r="L1082" s="31">
        <v>8707109000</v>
      </c>
      <c r="M1082" s="32" t="s">
        <v>790</v>
      </c>
      <c r="N1082" s="33" t="s">
        <v>791</v>
      </c>
      <c r="O1082" s="31">
        <v>1</v>
      </c>
      <c r="P1082" s="34">
        <v>54551.25</v>
      </c>
      <c r="Q1082" s="34">
        <v>9488</v>
      </c>
      <c r="R1082" s="34">
        <v>138</v>
      </c>
      <c r="S1082" s="34">
        <v>64177.25</v>
      </c>
      <c r="T1082" s="35">
        <v>880</v>
      </c>
      <c r="U1082" s="35">
        <v>880</v>
      </c>
      <c r="V1082" s="35">
        <v>953</v>
      </c>
      <c r="W1082" s="35">
        <v>953</v>
      </c>
      <c r="X1082" s="34">
        <v>64177.25</v>
      </c>
      <c r="Y1082" s="31">
        <v>2280</v>
      </c>
      <c r="Z1082" s="31">
        <v>5100</v>
      </c>
      <c r="AA1082" s="31">
        <v>1320</v>
      </c>
      <c r="AB1082" s="31">
        <v>15.35</v>
      </c>
    </row>
    <row r="1083" customHeight="1" spans="1:28">
      <c r="A1083" s="6" t="s">
        <v>807</v>
      </c>
      <c r="B1083" s="6" t="str">
        <f t="shared" si="16"/>
        <v>43115-DT1EJ20250101-B-TIIU6448511-BODY</v>
      </c>
      <c r="C1083" s="29" t="s">
        <v>785</v>
      </c>
      <c r="D1083" s="30" t="s">
        <v>786</v>
      </c>
      <c r="E1083" s="30" t="s">
        <v>676</v>
      </c>
      <c r="F1083" s="30" t="s">
        <v>677</v>
      </c>
      <c r="G1083" s="31" t="s">
        <v>787</v>
      </c>
      <c r="H1083" s="31"/>
      <c r="I1083" s="31" t="s">
        <v>85</v>
      </c>
      <c r="J1083" s="31" t="s">
        <v>808</v>
      </c>
      <c r="K1083" s="31" t="s">
        <v>789</v>
      </c>
      <c r="L1083" s="31">
        <v>8707109000</v>
      </c>
      <c r="M1083" s="32" t="s">
        <v>790</v>
      </c>
      <c r="N1083" s="33" t="s">
        <v>791</v>
      </c>
      <c r="O1083" s="31">
        <v>1</v>
      </c>
      <c r="P1083" s="34">
        <v>54551.25</v>
      </c>
      <c r="Q1083" s="34">
        <v>9488</v>
      </c>
      <c r="R1083" s="34">
        <v>138</v>
      </c>
      <c r="S1083" s="34">
        <v>64177.25</v>
      </c>
      <c r="T1083" s="35">
        <v>880</v>
      </c>
      <c r="U1083" s="35">
        <v>880</v>
      </c>
      <c r="V1083" s="35">
        <v>953</v>
      </c>
      <c r="W1083" s="35">
        <v>953</v>
      </c>
      <c r="X1083" s="34">
        <v>64177.25</v>
      </c>
      <c r="Y1083" s="31">
        <v>2280</v>
      </c>
      <c r="Z1083" s="31">
        <v>5100</v>
      </c>
      <c r="AA1083" s="31">
        <v>1320</v>
      </c>
      <c r="AB1083" s="31">
        <v>15.35</v>
      </c>
    </row>
    <row r="1084" spans="1:28">
      <c r="B1084" s="6" t="str">
        <f t="shared" si="16"/>
        <v>43115-DT1EJ20250101-B-TIIU6448888-BODY</v>
      </c>
      <c r="C1084" t="s">
        <v>785</v>
      </c>
      <c r="D1084" t="s">
        <v>786</v>
      </c>
      <c r="E1084" t="s">
        <v>680</v>
      </c>
      <c r="F1084" t="s">
        <v>681</v>
      </c>
      <c r="G1084" s="1" t="s">
        <v>787</v>
      </c>
      <c r="I1084" s="1" t="s">
        <v>85</v>
      </c>
      <c r="J1084" s="1" t="s">
        <v>809</v>
      </c>
      <c r="K1084" s="1" t="s">
        <v>789</v>
      </c>
      <c r="L1084">
        <v>8707109000</v>
      </c>
      <c r="M1084" s="2" t="s">
        <v>790</v>
      </c>
      <c r="N1084" s="3" t="s">
        <v>791</v>
      </c>
      <c r="O1084" s="1">
        <v>1</v>
      </c>
      <c r="P1084" s="4">
        <v>54551.25</v>
      </c>
      <c r="Q1084" s="4">
        <v>9488</v>
      </c>
      <c r="R1084" s="4">
        <v>138</v>
      </c>
      <c r="S1084" s="4">
        <v>64177.25</v>
      </c>
      <c r="T1084" s="5">
        <v>880</v>
      </c>
      <c r="U1084" s="5">
        <v>880</v>
      </c>
      <c r="V1084" s="5">
        <v>953</v>
      </c>
      <c r="W1084" s="5">
        <v>953</v>
      </c>
      <c r="X1084" s="4">
        <v>64177.25</v>
      </c>
      <c r="Y1084">
        <v>2280</v>
      </c>
      <c r="Z1084">
        <v>5100</v>
      </c>
      <c r="AA1084">
        <v>1320</v>
      </c>
      <c r="AB1084" s="1">
        <v>15.35</v>
      </c>
    </row>
    <row r="1085" customHeight="1" spans="1:28">
      <c r="A1085" s="6" t="s">
        <v>810</v>
      </c>
      <c r="B1085" s="6" t="str">
        <f t="shared" si="16"/>
        <v>43115-DT1EJ20250101-B-TIIU6448888-BODY</v>
      </c>
      <c r="C1085" s="29" t="s">
        <v>785</v>
      </c>
      <c r="D1085" s="30" t="s">
        <v>786</v>
      </c>
      <c r="E1085" s="30" t="s">
        <v>680</v>
      </c>
      <c r="F1085" s="30" t="s">
        <v>681</v>
      </c>
      <c r="G1085" s="31" t="s">
        <v>787</v>
      </c>
      <c r="H1085" s="31"/>
      <c r="I1085" s="31" t="s">
        <v>85</v>
      </c>
      <c r="J1085" s="31" t="s">
        <v>811</v>
      </c>
      <c r="K1085" s="31" t="s">
        <v>789</v>
      </c>
      <c r="L1085" s="31">
        <v>8707109000</v>
      </c>
      <c r="M1085" s="32" t="s">
        <v>790</v>
      </c>
      <c r="N1085" s="33" t="s">
        <v>791</v>
      </c>
      <c r="O1085" s="31">
        <v>1</v>
      </c>
      <c r="P1085" s="34">
        <v>54551.25</v>
      </c>
      <c r="Q1085" s="34">
        <v>9488</v>
      </c>
      <c r="R1085" s="34">
        <v>138</v>
      </c>
      <c r="S1085" s="34">
        <v>64177.25</v>
      </c>
      <c r="T1085" s="35">
        <v>880</v>
      </c>
      <c r="U1085" s="35">
        <v>880</v>
      </c>
      <c r="V1085" s="35">
        <v>953</v>
      </c>
      <c r="W1085" s="35">
        <v>953</v>
      </c>
      <c r="X1085" s="34">
        <v>64177.25</v>
      </c>
      <c r="Y1085" s="31">
        <v>2280</v>
      </c>
      <c r="Z1085" s="31">
        <v>5100</v>
      </c>
      <c r="AA1085" s="31">
        <v>1320</v>
      </c>
      <c r="AB1085" s="31">
        <v>15.35</v>
      </c>
    </row>
    <row r="1086" customHeight="1" spans="1:28">
      <c r="B1086" s="6" t="str">
        <f t="shared" si="16"/>
        <v>43115-DT1EJ20250101-B-TIIU6448888-BODY</v>
      </c>
      <c r="C1086" s="29" t="s">
        <v>785</v>
      </c>
      <c r="D1086" s="30" t="s">
        <v>786</v>
      </c>
      <c r="E1086" s="30" t="s">
        <v>680</v>
      </c>
      <c r="F1086" s="30" t="s">
        <v>681</v>
      </c>
      <c r="G1086" s="31" t="s">
        <v>787</v>
      </c>
      <c r="H1086" s="31"/>
      <c r="I1086" s="31" t="s">
        <v>85</v>
      </c>
      <c r="J1086" s="31" t="s">
        <v>812</v>
      </c>
      <c r="K1086" s="31" t="s">
        <v>789</v>
      </c>
      <c r="L1086" s="31">
        <v>8707109000</v>
      </c>
      <c r="M1086" s="32" t="s">
        <v>790</v>
      </c>
      <c r="N1086" s="33" t="s">
        <v>791</v>
      </c>
      <c r="O1086" s="31">
        <v>1</v>
      </c>
      <c r="P1086" s="34">
        <v>54551.25</v>
      </c>
      <c r="Q1086" s="34">
        <v>9488</v>
      </c>
      <c r="R1086" s="34">
        <v>138</v>
      </c>
      <c r="S1086" s="34">
        <v>64177.25</v>
      </c>
      <c r="T1086" s="35">
        <v>880</v>
      </c>
      <c r="U1086" s="35">
        <v>880</v>
      </c>
      <c r="V1086" s="35">
        <v>953</v>
      </c>
      <c r="W1086" s="35">
        <v>953</v>
      </c>
      <c r="X1086" s="34">
        <v>64177.25</v>
      </c>
      <c r="Y1086" s="31">
        <v>2280</v>
      </c>
      <c r="Z1086" s="31">
        <v>5100</v>
      </c>
      <c r="AA1086" s="31">
        <v>1320</v>
      </c>
      <c r="AB1086" s="31">
        <v>15.35</v>
      </c>
    </row>
    <row r="1087" customHeight="1" spans="1:28">
      <c r="B1087" s="6" t="str">
        <f t="shared" si="16"/>
        <v>43115-DT1EJ20250101-B-TIIU6448888-BODY</v>
      </c>
      <c r="C1087" s="29" t="s">
        <v>785</v>
      </c>
      <c r="D1087" s="30" t="s">
        <v>786</v>
      </c>
      <c r="E1087" s="30" t="s">
        <v>680</v>
      </c>
      <c r="F1087" s="30" t="s">
        <v>681</v>
      </c>
      <c r="G1087" s="31" t="s">
        <v>787</v>
      </c>
      <c r="H1087" s="31"/>
      <c r="I1087" s="31" t="s">
        <v>85</v>
      </c>
      <c r="J1087" s="31" t="s">
        <v>813</v>
      </c>
      <c r="K1087" s="31" t="s">
        <v>789</v>
      </c>
      <c r="L1087" s="31">
        <v>8707109000</v>
      </c>
      <c r="M1087" s="32" t="s">
        <v>790</v>
      </c>
      <c r="N1087" s="33" t="s">
        <v>791</v>
      </c>
      <c r="O1087" s="31">
        <v>1</v>
      </c>
      <c r="P1087" s="34">
        <v>54551.25</v>
      </c>
      <c r="Q1087" s="34">
        <v>9488</v>
      </c>
      <c r="R1087" s="34">
        <v>138</v>
      </c>
      <c r="S1087" s="34">
        <v>64177.25</v>
      </c>
      <c r="T1087" s="35">
        <v>880</v>
      </c>
      <c r="U1087" s="35">
        <v>880</v>
      </c>
      <c r="V1087" s="35">
        <v>953</v>
      </c>
      <c r="W1087" s="35">
        <v>953</v>
      </c>
      <c r="X1087" s="34">
        <v>64177.25</v>
      </c>
      <c r="Y1087" s="31">
        <v>2280</v>
      </c>
      <c r="Z1087" s="31">
        <v>5100</v>
      </c>
      <c r="AA1087" s="31">
        <v>1320</v>
      </c>
      <c r="AB1087" s="31">
        <v>15.35</v>
      </c>
    </row>
    <row r="1088" spans="1:28">
      <c r="B1088" s="6" t="str">
        <f t="shared" si="16"/>
        <v>43115-DT1EJ20250101-B-TIIU6451304-BODY</v>
      </c>
      <c r="C1088" t="s">
        <v>785</v>
      </c>
      <c r="D1088" t="s">
        <v>786</v>
      </c>
      <c r="E1088" t="s">
        <v>684</v>
      </c>
      <c r="F1088" t="s">
        <v>685</v>
      </c>
      <c r="G1088" s="1" t="s">
        <v>787</v>
      </c>
      <c r="I1088" s="1" t="s">
        <v>85</v>
      </c>
      <c r="J1088" s="1" t="s">
        <v>814</v>
      </c>
      <c r="K1088" s="1" t="s">
        <v>789</v>
      </c>
      <c r="L1088">
        <v>8707109000</v>
      </c>
      <c r="M1088" s="2" t="s">
        <v>790</v>
      </c>
      <c r="N1088" s="3" t="s">
        <v>791</v>
      </c>
      <c r="O1088" s="1">
        <v>1</v>
      </c>
      <c r="P1088" s="4">
        <v>54551.25</v>
      </c>
      <c r="Q1088" s="4">
        <v>9488</v>
      </c>
      <c r="R1088" s="4">
        <v>138</v>
      </c>
      <c r="S1088" s="4">
        <v>64177.25</v>
      </c>
      <c r="T1088" s="5">
        <v>880</v>
      </c>
      <c r="U1088" s="5">
        <v>880</v>
      </c>
      <c r="V1088" s="5">
        <v>953</v>
      </c>
      <c r="W1088" s="5">
        <v>953</v>
      </c>
      <c r="X1088" s="4">
        <v>64177.25</v>
      </c>
      <c r="Y1088">
        <v>2280</v>
      </c>
      <c r="Z1088">
        <v>5100</v>
      </c>
      <c r="AA1088">
        <v>1320</v>
      </c>
      <c r="AB1088" s="1">
        <v>15.35</v>
      </c>
    </row>
    <row r="1089" spans="2:28">
      <c r="B1089" s="6" t="str">
        <f t="shared" si="16"/>
        <v>43115-DT1EJ20250101-B-TIIU6451304-BODY</v>
      </c>
      <c r="C1089" t="s">
        <v>785</v>
      </c>
      <c r="D1089" t="s">
        <v>786</v>
      </c>
      <c r="E1089" t="s">
        <v>684</v>
      </c>
      <c r="F1089" t="s">
        <v>685</v>
      </c>
      <c r="G1089" s="1" t="s">
        <v>787</v>
      </c>
      <c r="I1089" s="1" t="s">
        <v>85</v>
      </c>
      <c r="J1089" s="1" t="s">
        <v>815</v>
      </c>
      <c r="K1089" s="1" t="s">
        <v>789</v>
      </c>
      <c r="L1089">
        <v>8707109000</v>
      </c>
      <c r="M1089" s="2" t="s">
        <v>790</v>
      </c>
      <c r="N1089" s="3" t="s">
        <v>791</v>
      </c>
      <c r="O1089" s="1">
        <v>1</v>
      </c>
      <c r="P1089" s="4">
        <v>54551.25</v>
      </c>
      <c r="Q1089" s="4">
        <v>9488</v>
      </c>
      <c r="R1089" s="4">
        <v>138</v>
      </c>
      <c r="S1089" s="4">
        <v>64177.25</v>
      </c>
      <c r="T1089" s="5">
        <v>880</v>
      </c>
      <c r="U1089" s="5">
        <v>880</v>
      </c>
      <c r="V1089" s="5">
        <v>953</v>
      </c>
      <c r="W1089" s="5">
        <v>953</v>
      </c>
      <c r="X1089" s="4">
        <v>64177.25</v>
      </c>
      <c r="Y1089">
        <v>2280</v>
      </c>
      <c r="Z1089">
        <v>5100</v>
      </c>
      <c r="AA1089">
        <v>1320</v>
      </c>
      <c r="AB1089" s="1">
        <v>15.35</v>
      </c>
    </row>
    <row r="1090" customHeight="1" spans="2:28">
      <c r="B1090" s="6" t="str">
        <f t="shared" ref="B1090:B1153" si="17">CONCATENATE(C1090,"-",E1090,"-",G1090)</f>
        <v>43115-DT1EJ20250101-B-TIIU6451304-BODY</v>
      </c>
      <c r="C1090" s="29" t="s">
        <v>785</v>
      </c>
      <c r="D1090" s="30" t="s">
        <v>786</v>
      </c>
      <c r="E1090" s="30" t="s">
        <v>684</v>
      </c>
      <c r="F1090" s="30" t="s">
        <v>685</v>
      </c>
      <c r="G1090" s="31" t="s">
        <v>787</v>
      </c>
      <c r="H1090" s="31"/>
      <c r="I1090" s="31" t="s">
        <v>85</v>
      </c>
      <c r="J1090" s="31" t="s">
        <v>816</v>
      </c>
      <c r="K1090" s="31" t="s">
        <v>789</v>
      </c>
      <c r="L1090" s="31">
        <v>8707109000</v>
      </c>
      <c r="M1090" s="32" t="s">
        <v>790</v>
      </c>
      <c r="N1090" s="33" t="s">
        <v>791</v>
      </c>
      <c r="O1090" s="31">
        <v>1</v>
      </c>
      <c r="P1090" s="34">
        <v>54551.25</v>
      </c>
      <c r="Q1090" s="34">
        <v>9488</v>
      </c>
      <c r="R1090" s="34">
        <v>138</v>
      </c>
      <c r="S1090" s="34">
        <v>64177.25</v>
      </c>
      <c r="T1090" s="35">
        <v>880</v>
      </c>
      <c r="U1090" s="35">
        <v>880</v>
      </c>
      <c r="V1090" s="35">
        <v>953</v>
      </c>
      <c r="W1090" s="35">
        <v>953</v>
      </c>
      <c r="X1090" s="34">
        <v>64177.25</v>
      </c>
      <c r="Y1090" s="31">
        <v>2280</v>
      </c>
      <c r="Z1090" s="31">
        <v>5100</v>
      </c>
      <c r="AA1090" s="31">
        <v>1320</v>
      </c>
      <c r="AB1090" s="31">
        <v>15.35</v>
      </c>
    </row>
    <row r="1091" customHeight="1" spans="2:28">
      <c r="B1091" s="6" t="str">
        <f t="shared" si="17"/>
        <v>43115-DT1EJ20250101-B-TIIU6451304-BODY</v>
      </c>
      <c r="C1091" s="29" t="s">
        <v>785</v>
      </c>
      <c r="D1091" s="30" t="s">
        <v>786</v>
      </c>
      <c r="E1091" s="30" t="s">
        <v>684</v>
      </c>
      <c r="F1091" s="30" t="s">
        <v>685</v>
      </c>
      <c r="G1091" s="31" t="s">
        <v>787</v>
      </c>
      <c r="H1091" s="31"/>
      <c r="I1091" s="31" t="s">
        <v>85</v>
      </c>
      <c r="J1091" s="31" t="s">
        <v>817</v>
      </c>
      <c r="K1091" s="31" t="s">
        <v>789</v>
      </c>
      <c r="L1091" s="31">
        <v>8707109000</v>
      </c>
      <c r="M1091" s="32" t="s">
        <v>790</v>
      </c>
      <c r="N1091" s="33" t="s">
        <v>791</v>
      </c>
      <c r="O1091" s="31">
        <v>1</v>
      </c>
      <c r="P1091" s="34">
        <v>54551.25</v>
      </c>
      <c r="Q1091" s="34">
        <v>9488</v>
      </c>
      <c r="R1091" s="34">
        <v>138</v>
      </c>
      <c r="S1091" s="34">
        <v>64177.25</v>
      </c>
      <c r="T1091" s="35">
        <v>880</v>
      </c>
      <c r="U1091" s="35">
        <v>880</v>
      </c>
      <c r="V1091" s="35">
        <v>953</v>
      </c>
      <c r="W1091" s="35">
        <v>953</v>
      </c>
      <c r="X1091" s="34">
        <v>64177.25</v>
      </c>
      <c r="Y1091" s="31">
        <v>2280</v>
      </c>
      <c r="Z1091" s="31">
        <v>5100</v>
      </c>
      <c r="AA1091" s="31">
        <v>1320</v>
      </c>
      <c r="AB1091" s="31">
        <v>15.35</v>
      </c>
    </row>
    <row r="1092" spans="2:28">
      <c r="B1092" s="6" t="str">
        <f t="shared" si="17"/>
        <v>43115-DT1EJ20250101-B-TIIU6451829-BODY</v>
      </c>
      <c r="C1092" t="s">
        <v>785</v>
      </c>
      <c r="D1092" t="s">
        <v>786</v>
      </c>
      <c r="E1092" t="s">
        <v>688</v>
      </c>
      <c r="F1092" t="s">
        <v>689</v>
      </c>
      <c r="G1092" s="1" t="s">
        <v>787</v>
      </c>
      <c r="I1092" s="1" t="s">
        <v>85</v>
      </c>
      <c r="J1092" s="1" t="s">
        <v>818</v>
      </c>
      <c r="K1092" s="1" t="s">
        <v>789</v>
      </c>
      <c r="L1092">
        <v>8707109000</v>
      </c>
      <c r="M1092" s="2" t="s">
        <v>790</v>
      </c>
      <c r="N1092" s="3" t="s">
        <v>791</v>
      </c>
      <c r="O1092" s="1">
        <v>1</v>
      </c>
      <c r="P1092" s="4">
        <v>54551.25</v>
      </c>
      <c r="Q1092" s="4">
        <v>9488</v>
      </c>
      <c r="R1092" s="4">
        <v>138</v>
      </c>
      <c r="S1092" s="4">
        <v>64177.25</v>
      </c>
      <c r="T1092" s="5">
        <v>880</v>
      </c>
      <c r="U1092" s="5">
        <v>880</v>
      </c>
      <c r="V1092" s="5">
        <v>953</v>
      </c>
      <c r="W1092" s="5">
        <v>953</v>
      </c>
      <c r="X1092" s="4">
        <v>64177.25</v>
      </c>
      <c r="Y1092">
        <v>2280</v>
      </c>
      <c r="Z1092">
        <v>5100</v>
      </c>
      <c r="AA1092">
        <v>1320</v>
      </c>
      <c r="AB1092" s="1">
        <v>15.35</v>
      </c>
    </row>
    <row r="1093" spans="2:28">
      <c r="B1093" s="6" t="str">
        <f t="shared" si="17"/>
        <v>43115-DT1EJ20250101-B-TIIU6451829-BODY</v>
      </c>
      <c r="C1093" t="s">
        <v>785</v>
      </c>
      <c r="D1093" t="s">
        <v>786</v>
      </c>
      <c r="E1093" t="s">
        <v>688</v>
      </c>
      <c r="F1093" t="s">
        <v>689</v>
      </c>
      <c r="G1093" s="1" t="s">
        <v>787</v>
      </c>
      <c r="I1093" s="1" t="s">
        <v>85</v>
      </c>
      <c r="J1093" s="1" t="s">
        <v>819</v>
      </c>
      <c r="K1093" s="1" t="s">
        <v>789</v>
      </c>
      <c r="L1093">
        <v>8707109000</v>
      </c>
      <c r="M1093" s="2" t="s">
        <v>790</v>
      </c>
      <c r="N1093" s="3" t="s">
        <v>791</v>
      </c>
      <c r="O1093" s="1">
        <v>1</v>
      </c>
      <c r="P1093" s="4">
        <v>54551.25</v>
      </c>
      <c r="Q1093" s="4">
        <v>9488</v>
      </c>
      <c r="R1093" s="4">
        <v>138</v>
      </c>
      <c r="S1093" s="4">
        <v>64177.25</v>
      </c>
      <c r="T1093" s="5">
        <v>880</v>
      </c>
      <c r="U1093" s="5">
        <v>880</v>
      </c>
      <c r="V1093" s="5">
        <v>953</v>
      </c>
      <c r="W1093" s="5">
        <v>953</v>
      </c>
      <c r="X1093" s="4">
        <v>64177.25</v>
      </c>
      <c r="Y1093">
        <v>2280</v>
      </c>
      <c r="Z1093">
        <v>5100</v>
      </c>
      <c r="AA1093">
        <v>1320</v>
      </c>
      <c r="AB1093" s="1">
        <v>15.35</v>
      </c>
    </row>
    <row r="1094" spans="2:28">
      <c r="B1094" s="6" t="str">
        <f t="shared" si="17"/>
        <v>43115-DT1EJ20250101-B-TIIU6451829-BODY</v>
      </c>
      <c r="C1094" t="s">
        <v>785</v>
      </c>
      <c r="D1094" t="s">
        <v>786</v>
      </c>
      <c r="E1094" t="s">
        <v>688</v>
      </c>
      <c r="F1094" t="s">
        <v>689</v>
      </c>
      <c r="G1094" s="1" t="s">
        <v>787</v>
      </c>
      <c r="I1094" s="1" t="s">
        <v>85</v>
      </c>
      <c r="J1094" s="1" t="s">
        <v>820</v>
      </c>
      <c r="K1094" s="1" t="s">
        <v>789</v>
      </c>
      <c r="L1094">
        <v>8707109000</v>
      </c>
      <c r="M1094" s="2" t="s">
        <v>790</v>
      </c>
      <c r="N1094" s="3" t="s">
        <v>791</v>
      </c>
      <c r="O1094" s="1">
        <v>1</v>
      </c>
      <c r="P1094" s="4">
        <v>54551.25</v>
      </c>
      <c r="Q1094" s="4">
        <v>9488</v>
      </c>
      <c r="R1094" s="4">
        <v>138</v>
      </c>
      <c r="S1094" s="4">
        <v>64177.25</v>
      </c>
      <c r="T1094" s="5">
        <v>880</v>
      </c>
      <c r="U1094" s="5">
        <v>880</v>
      </c>
      <c r="V1094" s="5">
        <v>953</v>
      </c>
      <c r="W1094" s="5">
        <v>953</v>
      </c>
      <c r="X1094" s="4">
        <v>64177.25</v>
      </c>
      <c r="Y1094">
        <v>2280</v>
      </c>
      <c r="Z1094">
        <v>5100</v>
      </c>
      <c r="AA1094">
        <v>1320</v>
      </c>
      <c r="AB1094" s="1">
        <v>15.35</v>
      </c>
    </row>
    <row r="1095" spans="2:28">
      <c r="B1095" s="6" t="str">
        <f t="shared" si="17"/>
        <v>43115-DT1EJ20250101-B-TIIU6451829-BODY</v>
      </c>
      <c r="C1095" t="s">
        <v>785</v>
      </c>
      <c r="D1095" t="s">
        <v>786</v>
      </c>
      <c r="E1095" t="s">
        <v>688</v>
      </c>
      <c r="F1095" t="s">
        <v>689</v>
      </c>
      <c r="G1095" s="1" t="s">
        <v>787</v>
      </c>
      <c r="I1095" s="1" t="s">
        <v>85</v>
      </c>
      <c r="J1095" s="1" t="s">
        <v>821</v>
      </c>
      <c r="K1095" s="1" t="s">
        <v>789</v>
      </c>
      <c r="L1095">
        <v>8707109000</v>
      </c>
      <c r="M1095" s="2" t="s">
        <v>790</v>
      </c>
      <c r="N1095" s="3" t="s">
        <v>791</v>
      </c>
      <c r="O1095" s="1">
        <v>1</v>
      </c>
      <c r="P1095" s="4">
        <v>54551.25</v>
      </c>
      <c r="Q1095" s="4">
        <v>9488</v>
      </c>
      <c r="R1095" s="4">
        <v>138</v>
      </c>
      <c r="S1095" s="4">
        <v>64177.25</v>
      </c>
      <c r="T1095" s="5">
        <v>880</v>
      </c>
      <c r="U1095" s="5">
        <v>880</v>
      </c>
      <c r="V1095" s="5">
        <v>953</v>
      </c>
      <c r="W1095" s="5">
        <v>953</v>
      </c>
      <c r="X1095" s="4">
        <v>64177.25</v>
      </c>
      <c r="Y1095">
        <v>2280</v>
      </c>
      <c r="Z1095">
        <v>5100</v>
      </c>
      <c r="AA1095">
        <v>1320</v>
      </c>
      <c r="AB1095" s="1">
        <v>15.35</v>
      </c>
    </row>
    <row r="1096" customHeight="1" spans="2:28">
      <c r="B1096" s="6" t="str">
        <f t="shared" si="17"/>
        <v>43115-DT1EJ20250101-B-TIIU6451860-BODY</v>
      </c>
      <c r="C1096" s="29" t="s">
        <v>785</v>
      </c>
      <c r="D1096" s="30" t="s">
        <v>786</v>
      </c>
      <c r="E1096" s="30" t="s">
        <v>692</v>
      </c>
      <c r="F1096" s="30" t="s">
        <v>693</v>
      </c>
      <c r="G1096" s="31" t="s">
        <v>787</v>
      </c>
      <c r="H1096" s="31"/>
      <c r="I1096" s="31" t="s">
        <v>85</v>
      </c>
      <c r="J1096" s="31" t="s">
        <v>822</v>
      </c>
      <c r="K1096" s="31" t="s">
        <v>789</v>
      </c>
      <c r="L1096" s="31">
        <v>8707109000</v>
      </c>
      <c r="M1096" s="32" t="s">
        <v>790</v>
      </c>
      <c r="N1096" s="33" t="s">
        <v>791</v>
      </c>
      <c r="O1096" s="31">
        <v>1</v>
      </c>
      <c r="P1096" s="34">
        <v>54551.25</v>
      </c>
      <c r="Q1096" s="34">
        <v>9488</v>
      </c>
      <c r="R1096" s="34">
        <v>138</v>
      </c>
      <c r="S1096" s="34">
        <v>64177.25</v>
      </c>
      <c r="T1096" s="35">
        <v>880</v>
      </c>
      <c r="U1096" s="35">
        <v>880</v>
      </c>
      <c r="V1096" s="35">
        <v>953</v>
      </c>
      <c r="W1096" s="35">
        <v>953</v>
      </c>
      <c r="X1096" s="34">
        <v>64177.25</v>
      </c>
      <c r="Y1096" s="31">
        <v>2280</v>
      </c>
      <c r="Z1096" s="31">
        <v>5100</v>
      </c>
      <c r="AA1096" s="31">
        <v>1320</v>
      </c>
      <c r="AB1096" s="31">
        <v>15.35</v>
      </c>
    </row>
    <row r="1097" customHeight="1" spans="2:28">
      <c r="B1097" s="6" t="str">
        <f t="shared" si="17"/>
        <v>43115-DT1EJ20250101-B-TIIU6451860-BODY</v>
      </c>
      <c r="C1097" s="29" t="s">
        <v>785</v>
      </c>
      <c r="D1097" s="30" t="s">
        <v>786</v>
      </c>
      <c r="E1097" s="30" t="s">
        <v>692</v>
      </c>
      <c r="F1097" s="30" t="s">
        <v>693</v>
      </c>
      <c r="G1097" s="31" t="s">
        <v>787</v>
      </c>
      <c r="H1097" s="31"/>
      <c r="I1097" s="31" t="s">
        <v>85</v>
      </c>
      <c r="J1097" s="31" t="s">
        <v>823</v>
      </c>
      <c r="K1097" s="31" t="s">
        <v>789</v>
      </c>
      <c r="L1097" s="31">
        <v>8707109000</v>
      </c>
      <c r="M1097" s="32" t="s">
        <v>790</v>
      </c>
      <c r="N1097" s="33" t="s">
        <v>791</v>
      </c>
      <c r="O1097" s="31">
        <v>1</v>
      </c>
      <c r="P1097" s="34">
        <v>54551.25</v>
      </c>
      <c r="Q1097" s="34">
        <v>9488</v>
      </c>
      <c r="R1097" s="34">
        <v>138</v>
      </c>
      <c r="S1097" s="34">
        <v>64177.25</v>
      </c>
      <c r="T1097" s="35">
        <v>880</v>
      </c>
      <c r="U1097" s="35">
        <v>880</v>
      </c>
      <c r="V1097" s="35">
        <v>953</v>
      </c>
      <c r="W1097" s="35">
        <v>953</v>
      </c>
      <c r="X1097" s="34">
        <v>64177.25</v>
      </c>
      <c r="Y1097" s="31">
        <v>2280</v>
      </c>
      <c r="Z1097" s="31">
        <v>5100</v>
      </c>
      <c r="AA1097" s="31">
        <v>1320</v>
      </c>
      <c r="AB1097" s="31">
        <v>15.35</v>
      </c>
    </row>
    <row r="1098" customHeight="1" spans="2:28">
      <c r="B1098" s="6" t="str">
        <f t="shared" si="17"/>
        <v>43115-DT1EJ20250101-B-TIIU6451860-BODY</v>
      </c>
      <c r="C1098" s="29" t="s">
        <v>785</v>
      </c>
      <c r="D1098" s="30" t="s">
        <v>786</v>
      </c>
      <c r="E1098" s="30" t="s">
        <v>692</v>
      </c>
      <c r="F1098" s="30" t="s">
        <v>693</v>
      </c>
      <c r="G1098" s="31" t="s">
        <v>787</v>
      </c>
      <c r="H1098" s="31"/>
      <c r="I1098" s="31" t="s">
        <v>85</v>
      </c>
      <c r="J1098" s="31" t="s">
        <v>824</v>
      </c>
      <c r="K1098" s="31" t="s">
        <v>789</v>
      </c>
      <c r="L1098" s="31">
        <v>8707109000</v>
      </c>
      <c r="M1098" s="32" t="s">
        <v>790</v>
      </c>
      <c r="N1098" s="33" t="s">
        <v>791</v>
      </c>
      <c r="O1098" s="31">
        <v>1</v>
      </c>
      <c r="P1098" s="34">
        <v>54551.25</v>
      </c>
      <c r="Q1098" s="34">
        <v>9488</v>
      </c>
      <c r="R1098" s="34">
        <v>138</v>
      </c>
      <c r="S1098" s="34">
        <v>64177.25</v>
      </c>
      <c r="T1098" s="35">
        <v>880</v>
      </c>
      <c r="U1098" s="35">
        <v>880</v>
      </c>
      <c r="V1098" s="35">
        <v>953</v>
      </c>
      <c r="W1098" s="35">
        <v>953</v>
      </c>
      <c r="X1098" s="34">
        <v>64177.25</v>
      </c>
      <c r="Y1098" s="31">
        <v>2280</v>
      </c>
      <c r="Z1098" s="31">
        <v>5100</v>
      </c>
      <c r="AA1098" s="31">
        <v>1320</v>
      </c>
      <c r="AB1098" s="31">
        <v>15.35</v>
      </c>
    </row>
    <row r="1099" customHeight="1" spans="2:28">
      <c r="B1099" s="6" t="str">
        <f t="shared" si="17"/>
        <v>43115-DT1EJ20250101-B-TIIU6451860-BODY</v>
      </c>
      <c r="C1099" s="29" t="s">
        <v>785</v>
      </c>
      <c r="D1099" s="30" t="s">
        <v>786</v>
      </c>
      <c r="E1099" s="30" t="s">
        <v>692</v>
      </c>
      <c r="F1099" s="30" t="s">
        <v>693</v>
      </c>
      <c r="G1099" s="31" t="s">
        <v>787</v>
      </c>
      <c r="H1099" s="31"/>
      <c r="I1099" s="31" t="s">
        <v>85</v>
      </c>
      <c r="J1099" s="31" t="s">
        <v>825</v>
      </c>
      <c r="K1099" s="31" t="s">
        <v>789</v>
      </c>
      <c r="L1099" s="31">
        <v>8707109000</v>
      </c>
      <c r="M1099" s="32" t="s">
        <v>790</v>
      </c>
      <c r="N1099" s="33" t="s">
        <v>791</v>
      </c>
      <c r="O1099" s="31">
        <v>1</v>
      </c>
      <c r="P1099" s="34">
        <v>54551.25</v>
      </c>
      <c r="Q1099" s="34">
        <v>9488</v>
      </c>
      <c r="R1099" s="34">
        <v>138</v>
      </c>
      <c r="S1099" s="34">
        <v>64177.25</v>
      </c>
      <c r="T1099" s="35">
        <v>880</v>
      </c>
      <c r="U1099" s="35">
        <v>880</v>
      </c>
      <c r="V1099" s="35">
        <v>953</v>
      </c>
      <c r="W1099" s="35">
        <v>953</v>
      </c>
      <c r="X1099" s="34">
        <v>64177.25</v>
      </c>
      <c r="Y1099" s="31">
        <v>2280</v>
      </c>
      <c r="Z1099" s="31">
        <v>5100</v>
      </c>
      <c r="AA1099" s="31">
        <v>1320</v>
      </c>
      <c r="AB1099" s="31">
        <v>15.35</v>
      </c>
    </row>
    <row r="1100" spans="2:28">
      <c r="B1100" s="6" t="str">
        <f t="shared" si="17"/>
        <v>43115-DT1EJ20250101-B-TIIU6451897-BODY</v>
      </c>
      <c r="C1100" s="40" t="s">
        <v>785</v>
      </c>
      <c r="D1100" t="s">
        <v>786</v>
      </c>
      <c r="E1100" t="s">
        <v>696</v>
      </c>
      <c r="F1100" t="s">
        <v>697</v>
      </c>
      <c r="G1100" s="1" t="s">
        <v>787</v>
      </c>
      <c r="I1100" s="1" t="s">
        <v>85</v>
      </c>
      <c r="J1100" s="1" t="s">
        <v>826</v>
      </c>
      <c r="K1100" s="1" t="s">
        <v>789</v>
      </c>
      <c r="L1100">
        <v>8707109000</v>
      </c>
      <c r="M1100" s="2" t="s">
        <v>790</v>
      </c>
      <c r="N1100" s="3" t="s">
        <v>791</v>
      </c>
      <c r="O1100" s="1">
        <v>1</v>
      </c>
      <c r="P1100" s="4">
        <v>54551.25</v>
      </c>
      <c r="Q1100" s="4">
        <v>9488</v>
      </c>
      <c r="R1100" s="4">
        <v>138</v>
      </c>
      <c r="S1100" s="4">
        <v>64177.25</v>
      </c>
      <c r="T1100" s="5">
        <v>880</v>
      </c>
      <c r="U1100" s="5">
        <v>880</v>
      </c>
      <c r="V1100" s="5">
        <v>953</v>
      </c>
      <c r="W1100" s="5">
        <v>953</v>
      </c>
      <c r="X1100" s="4">
        <v>64177.25</v>
      </c>
      <c r="Y1100">
        <v>2280</v>
      </c>
      <c r="Z1100">
        <v>5100</v>
      </c>
      <c r="AA1100">
        <v>1320</v>
      </c>
      <c r="AB1100" s="1">
        <v>15.35</v>
      </c>
    </row>
    <row r="1101" spans="2:28">
      <c r="B1101" s="6" t="str">
        <f t="shared" si="17"/>
        <v>43115-DT1EJ20250101-B-TIIU6451897-BODY</v>
      </c>
      <c r="C1101" t="s">
        <v>785</v>
      </c>
      <c r="D1101" t="s">
        <v>786</v>
      </c>
      <c r="E1101" t="s">
        <v>696</v>
      </c>
      <c r="F1101" t="s">
        <v>697</v>
      </c>
      <c r="G1101" s="1" t="s">
        <v>787</v>
      </c>
      <c r="I1101" s="1" t="s">
        <v>85</v>
      </c>
      <c r="J1101" s="1" t="s">
        <v>827</v>
      </c>
      <c r="K1101" s="1" t="s">
        <v>789</v>
      </c>
      <c r="L1101">
        <v>8707109000</v>
      </c>
      <c r="M1101" s="2" t="s">
        <v>790</v>
      </c>
      <c r="N1101" s="3" t="s">
        <v>791</v>
      </c>
      <c r="O1101" s="1">
        <v>1</v>
      </c>
      <c r="P1101" s="4">
        <v>54551.25</v>
      </c>
      <c r="Q1101" s="4">
        <v>9488</v>
      </c>
      <c r="R1101" s="4">
        <v>138</v>
      </c>
      <c r="S1101" s="4">
        <v>64177.25</v>
      </c>
      <c r="T1101" s="5">
        <v>880</v>
      </c>
      <c r="U1101" s="5">
        <v>880</v>
      </c>
      <c r="V1101" s="5">
        <v>953</v>
      </c>
      <c r="W1101" s="5">
        <v>953</v>
      </c>
      <c r="X1101" s="4">
        <v>64177.25</v>
      </c>
      <c r="Y1101">
        <v>2280</v>
      </c>
      <c r="Z1101">
        <v>5100</v>
      </c>
      <c r="AA1101">
        <v>1320</v>
      </c>
      <c r="AB1101" s="1">
        <v>15.35</v>
      </c>
    </row>
    <row r="1102" spans="2:28">
      <c r="B1102" s="6" t="str">
        <f t="shared" si="17"/>
        <v>43115-DT1EJ20250101-B-TIIU6451897-BODY</v>
      </c>
      <c r="C1102" t="s">
        <v>785</v>
      </c>
      <c r="D1102" t="s">
        <v>786</v>
      </c>
      <c r="E1102" t="s">
        <v>696</v>
      </c>
      <c r="F1102" t="s">
        <v>697</v>
      </c>
      <c r="G1102" s="1" t="s">
        <v>787</v>
      </c>
      <c r="I1102" s="1" t="s">
        <v>85</v>
      </c>
      <c r="J1102" s="1" t="s">
        <v>828</v>
      </c>
      <c r="K1102" s="1" t="s">
        <v>789</v>
      </c>
      <c r="L1102">
        <v>8707109000</v>
      </c>
      <c r="M1102" s="2" t="s">
        <v>790</v>
      </c>
      <c r="N1102" s="3" t="s">
        <v>791</v>
      </c>
      <c r="O1102" s="1">
        <v>1</v>
      </c>
      <c r="P1102" s="4">
        <v>54551.25</v>
      </c>
      <c r="Q1102" s="4">
        <v>9488</v>
      </c>
      <c r="R1102" s="4">
        <v>138</v>
      </c>
      <c r="S1102" s="4">
        <v>64177.25</v>
      </c>
      <c r="T1102" s="5">
        <v>880</v>
      </c>
      <c r="U1102" s="5">
        <v>880</v>
      </c>
      <c r="V1102" s="5">
        <v>953</v>
      </c>
      <c r="W1102" s="5">
        <v>953</v>
      </c>
      <c r="X1102" s="4">
        <v>64177.25</v>
      </c>
      <c r="Y1102">
        <v>2280</v>
      </c>
      <c r="Z1102">
        <v>5100</v>
      </c>
      <c r="AA1102">
        <v>1320</v>
      </c>
      <c r="AB1102" s="1">
        <v>15.35</v>
      </c>
    </row>
    <row r="1103" spans="2:28">
      <c r="B1103" s="6" t="str">
        <f t="shared" si="17"/>
        <v>43115-DT1EJ20250101-B-TIIU6451897-BODY</v>
      </c>
      <c r="C1103" t="s">
        <v>785</v>
      </c>
      <c r="D1103" t="s">
        <v>786</v>
      </c>
      <c r="E1103" t="s">
        <v>696</v>
      </c>
      <c r="F1103" t="s">
        <v>697</v>
      </c>
      <c r="G1103" s="1" t="s">
        <v>787</v>
      </c>
      <c r="I1103" s="1" t="s">
        <v>85</v>
      </c>
      <c r="J1103" s="1" t="s">
        <v>829</v>
      </c>
      <c r="K1103" s="1" t="s">
        <v>789</v>
      </c>
      <c r="L1103">
        <v>8707109000</v>
      </c>
      <c r="M1103" s="2" t="s">
        <v>790</v>
      </c>
      <c r="N1103" s="3" t="s">
        <v>791</v>
      </c>
      <c r="O1103" s="1">
        <v>1</v>
      </c>
      <c r="P1103" s="4">
        <v>54551.25</v>
      </c>
      <c r="Q1103" s="4">
        <v>9488</v>
      </c>
      <c r="R1103" s="4">
        <v>138</v>
      </c>
      <c r="S1103" s="4">
        <v>64177.25</v>
      </c>
      <c r="T1103" s="5">
        <v>880</v>
      </c>
      <c r="U1103" s="5">
        <v>880</v>
      </c>
      <c r="V1103" s="5">
        <v>953</v>
      </c>
      <c r="W1103" s="5">
        <v>953</v>
      </c>
      <c r="X1103" s="4">
        <v>64177.25</v>
      </c>
      <c r="Y1103">
        <v>2280</v>
      </c>
      <c r="Z1103">
        <v>5100</v>
      </c>
      <c r="AA1103">
        <v>1320</v>
      </c>
      <c r="AB1103" s="1">
        <v>15.35</v>
      </c>
    </row>
    <row r="1104" customHeight="1" spans="2:28">
      <c r="B1104" s="6" t="str">
        <f t="shared" si="17"/>
        <v>43115-DT1EJ20250101-B-TIIU6453400-BODY</v>
      </c>
      <c r="C1104" s="29" t="s">
        <v>785</v>
      </c>
      <c r="D1104" s="30" t="s">
        <v>786</v>
      </c>
      <c r="E1104" s="30" t="s">
        <v>700</v>
      </c>
      <c r="F1104" s="30" t="s">
        <v>701</v>
      </c>
      <c r="G1104" s="31" t="s">
        <v>787</v>
      </c>
      <c r="H1104" s="31"/>
      <c r="I1104" s="31" t="s">
        <v>85</v>
      </c>
      <c r="J1104" s="31" t="s">
        <v>830</v>
      </c>
      <c r="K1104" s="31" t="s">
        <v>789</v>
      </c>
      <c r="L1104" s="31">
        <v>8707109000</v>
      </c>
      <c r="M1104" s="32" t="s">
        <v>790</v>
      </c>
      <c r="N1104" s="33" t="s">
        <v>791</v>
      </c>
      <c r="O1104" s="31">
        <v>1</v>
      </c>
      <c r="P1104" s="34">
        <v>54551.25</v>
      </c>
      <c r="Q1104" s="34">
        <v>9488</v>
      </c>
      <c r="R1104" s="34">
        <v>138</v>
      </c>
      <c r="S1104" s="34">
        <v>64177.25</v>
      </c>
      <c r="T1104" s="35">
        <v>880</v>
      </c>
      <c r="U1104" s="35">
        <v>880</v>
      </c>
      <c r="V1104" s="35">
        <v>953</v>
      </c>
      <c r="W1104" s="35">
        <v>953</v>
      </c>
      <c r="X1104" s="34">
        <v>64177.25</v>
      </c>
      <c r="Y1104" s="31">
        <v>2280</v>
      </c>
      <c r="Z1104" s="31">
        <v>5100</v>
      </c>
      <c r="AA1104" s="31">
        <v>1320</v>
      </c>
      <c r="AB1104" s="31">
        <v>15.35</v>
      </c>
    </row>
    <row r="1105" customHeight="1" spans="2:28">
      <c r="B1105" s="6" t="str">
        <f t="shared" si="17"/>
        <v>43115-DT1EJ20250101-B-TIIU6453400-BODY</v>
      </c>
      <c r="C1105" s="29" t="s">
        <v>785</v>
      </c>
      <c r="D1105" s="30" t="s">
        <v>786</v>
      </c>
      <c r="E1105" s="30" t="s">
        <v>700</v>
      </c>
      <c r="F1105" s="30" t="s">
        <v>701</v>
      </c>
      <c r="G1105" s="31" t="s">
        <v>787</v>
      </c>
      <c r="H1105" s="31"/>
      <c r="I1105" s="31" t="s">
        <v>85</v>
      </c>
      <c r="J1105" s="31" t="s">
        <v>831</v>
      </c>
      <c r="K1105" s="31" t="s">
        <v>789</v>
      </c>
      <c r="L1105" s="31">
        <v>8707109000</v>
      </c>
      <c r="M1105" s="32" t="s">
        <v>790</v>
      </c>
      <c r="N1105" s="33" t="s">
        <v>791</v>
      </c>
      <c r="O1105" s="31">
        <v>1</v>
      </c>
      <c r="P1105" s="34">
        <v>54551.25</v>
      </c>
      <c r="Q1105" s="34">
        <v>9488</v>
      </c>
      <c r="R1105" s="34">
        <v>138</v>
      </c>
      <c r="S1105" s="34">
        <v>64177.25</v>
      </c>
      <c r="T1105" s="35">
        <v>880</v>
      </c>
      <c r="U1105" s="35">
        <v>880</v>
      </c>
      <c r="V1105" s="35">
        <v>953</v>
      </c>
      <c r="W1105" s="35">
        <v>953</v>
      </c>
      <c r="X1105" s="34">
        <v>64177.25</v>
      </c>
      <c r="Y1105" s="31">
        <v>2280</v>
      </c>
      <c r="Z1105" s="31">
        <v>5100</v>
      </c>
      <c r="AA1105" s="31">
        <v>1320</v>
      </c>
      <c r="AB1105" s="31">
        <v>15.35</v>
      </c>
    </row>
    <row r="1106" customHeight="1" spans="2:28">
      <c r="B1106" s="6" t="str">
        <f t="shared" si="17"/>
        <v>43115-DT1EJ20250101-B-TIIU6453400-BODY</v>
      </c>
      <c r="C1106" s="29" t="s">
        <v>785</v>
      </c>
      <c r="D1106" s="30" t="s">
        <v>786</v>
      </c>
      <c r="E1106" s="30" t="s">
        <v>700</v>
      </c>
      <c r="F1106" s="30" t="s">
        <v>701</v>
      </c>
      <c r="G1106" s="31" t="s">
        <v>787</v>
      </c>
      <c r="H1106" s="31"/>
      <c r="I1106" s="31" t="s">
        <v>85</v>
      </c>
      <c r="J1106" s="31" t="s">
        <v>832</v>
      </c>
      <c r="K1106" s="31" t="s">
        <v>789</v>
      </c>
      <c r="L1106" s="31">
        <v>8707109000</v>
      </c>
      <c r="M1106" s="32" t="s">
        <v>790</v>
      </c>
      <c r="N1106" s="33" t="s">
        <v>791</v>
      </c>
      <c r="O1106" s="31">
        <v>1</v>
      </c>
      <c r="P1106" s="34">
        <v>54551.25</v>
      </c>
      <c r="Q1106" s="34">
        <v>9488</v>
      </c>
      <c r="R1106" s="34">
        <v>138</v>
      </c>
      <c r="S1106" s="34">
        <v>64177.25</v>
      </c>
      <c r="T1106" s="35">
        <v>880</v>
      </c>
      <c r="U1106" s="35">
        <v>880</v>
      </c>
      <c r="V1106" s="35">
        <v>953</v>
      </c>
      <c r="W1106" s="35">
        <v>953</v>
      </c>
      <c r="X1106" s="34">
        <v>64177.25</v>
      </c>
      <c r="Y1106" s="31">
        <v>2280</v>
      </c>
      <c r="Z1106" s="31">
        <v>5100</v>
      </c>
      <c r="AA1106" s="31">
        <v>1320</v>
      </c>
      <c r="AB1106" s="31">
        <v>15.35</v>
      </c>
    </row>
    <row r="1107" customHeight="1" spans="2:28">
      <c r="B1107" s="6" t="str">
        <f t="shared" si="17"/>
        <v>43115-DT1EJ20250101-B-TIIU6453400-BODY</v>
      </c>
      <c r="C1107" s="29" t="s">
        <v>785</v>
      </c>
      <c r="D1107" s="30" t="s">
        <v>786</v>
      </c>
      <c r="E1107" s="30" t="s">
        <v>700</v>
      </c>
      <c r="F1107" s="30" t="s">
        <v>701</v>
      </c>
      <c r="G1107" s="31" t="s">
        <v>787</v>
      </c>
      <c r="H1107" s="31"/>
      <c r="I1107" s="31" t="s">
        <v>85</v>
      </c>
      <c r="J1107" s="31" t="s">
        <v>833</v>
      </c>
      <c r="K1107" s="31" t="s">
        <v>789</v>
      </c>
      <c r="L1107" s="31">
        <v>8707109000</v>
      </c>
      <c r="M1107" s="32" t="s">
        <v>790</v>
      </c>
      <c r="N1107" s="33" t="s">
        <v>791</v>
      </c>
      <c r="O1107" s="31">
        <v>1</v>
      </c>
      <c r="P1107" s="34">
        <v>54551.25</v>
      </c>
      <c r="Q1107" s="34">
        <v>9488</v>
      </c>
      <c r="R1107" s="34">
        <v>138</v>
      </c>
      <c r="S1107" s="34">
        <v>64177.25</v>
      </c>
      <c r="T1107" s="35">
        <v>880</v>
      </c>
      <c r="U1107" s="35">
        <v>880</v>
      </c>
      <c r="V1107" s="35">
        <v>953</v>
      </c>
      <c r="W1107" s="35">
        <v>953</v>
      </c>
      <c r="X1107" s="34">
        <v>64177.25</v>
      </c>
      <c r="Y1107" s="31">
        <v>2280</v>
      </c>
      <c r="Z1107" s="31">
        <v>5100</v>
      </c>
      <c r="AA1107" s="31">
        <v>1320</v>
      </c>
      <c r="AB1107" s="31">
        <v>15.35</v>
      </c>
    </row>
    <row r="1108" spans="2:28">
      <c r="B1108" s="6" t="str">
        <f t="shared" si="17"/>
        <v>43115-DT1EJ20250101-B-TIIU6453544-BODY</v>
      </c>
      <c r="C1108" t="s">
        <v>785</v>
      </c>
      <c r="D1108" t="s">
        <v>786</v>
      </c>
      <c r="E1108" t="s">
        <v>704</v>
      </c>
      <c r="F1108" t="s">
        <v>705</v>
      </c>
      <c r="G1108" s="1" t="s">
        <v>787</v>
      </c>
      <c r="I1108" s="1" t="s">
        <v>85</v>
      </c>
      <c r="J1108" s="1" t="s">
        <v>834</v>
      </c>
      <c r="K1108" s="1" t="s">
        <v>789</v>
      </c>
      <c r="L1108">
        <v>8707109000</v>
      </c>
      <c r="M1108" s="2" t="s">
        <v>790</v>
      </c>
      <c r="N1108" s="3" t="s">
        <v>791</v>
      </c>
      <c r="O1108" s="1">
        <v>1</v>
      </c>
      <c r="P1108" s="4">
        <v>54551.25</v>
      </c>
      <c r="Q1108" s="4">
        <v>9488</v>
      </c>
      <c r="R1108" s="4">
        <v>138</v>
      </c>
      <c r="S1108" s="4">
        <v>64177.25</v>
      </c>
      <c r="T1108" s="5">
        <v>880</v>
      </c>
      <c r="U1108" s="5">
        <v>880</v>
      </c>
      <c r="V1108" s="5">
        <v>953</v>
      </c>
      <c r="W1108" s="5">
        <v>953</v>
      </c>
      <c r="X1108" s="4">
        <v>64177.25</v>
      </c>
      <c r="Y1108">
        <v>2280</v>
      </c>
      <c r="Z1108">
        <v>5100</v>
      </c>
      <c r="AA1108">
        <v>1320</v>
      </c>
      <c r="AB1108" s="1">
        <v>15.35</v>
      </c>
    </row>
    <row r="1109" spans="2:28">
      <c r="B1109" s="6" t="str">
        <f t="shared" si="17"/>
        <v>43115-DT1EJ20250101-B-TIIU6453544-BODY</v>
      </c>
      <c r="C1109" t="s">
        <v>785</v>
      </c>
      <c r="D1109" t="s">
        <v>786</v>
      </c>
      <c r="E1109" t="s">
        <v>704</v>
      </c>
      <c r="F1109" t="s">
        <v>705</v>
      </c>
      <c r="G1109" s="1" t="s">
        <v>787</v>
      </c>
      <c r="I1109" s="1" t="s">
        <v>85</v>
      </c>
      <c r="J1109" s="1" t="s">
        <v>835</v>
      </c>
      <c r="K1109" s="1" t="s">
        <v>789</v>
      </c>
      <c r="L1109">
        <v>8707109000</v>
      </c>
      <c r="M1109" s="2" t="s">
        <v>790</v>
      </c>
      <c r="N1109" s="3" t="s">
        <v>791</v>
      </c>
      <c r="O1109" s="1">
        <v>1</v>
      </c>
      <c r="P1109" s="4">
        <v>54551.25</v>
      </c>
      <c r="Q1109" s="4">
        <v>9488</v>
      </c>
      <c r="R1109" s="4">
        <v>138</v>
      </c>
      <c r="S1109" s="4">
        <v>64177.25</v>
      </c>
      <c r="T1109" s="5">
        <v>880</v>
      </c>
      <c r="U1109" s="5">
        <v>880</v>
      </c>
      <c r="V1109" s="5">
        <v>953</v>
      </c>
      <c r="W1109" s="5">
        <v>953</v>
      </c>
      <c r="X1109" s="4">
        <v>64177.25</v>
      </c>
      <c r="Y1109">
        <v>2280</v>
      </c>
      <c r="Z1109">
        <v>5100</v>
      </c>
      <c r="AA1109">
        <v>1320</v>
      </c>
      <c r="AB1109" s="1">
        <v>15.35</v>
      </c>
    </row>
    <row r="1110" spans="2:28">
      <c r="B1110" s="6" t="str">
        <f t="shared" si="17"/>
        <v>43115-DT1EJ20250101-B-TIIU6453544-BODY</v>
      </c>
      <c r="C1110" t="s">
        <v>785</v>
      </c>
      <c r="D1110" t="s">
        <v>786</v>
      </c>
      <c r="E1110" t="s">
        <v>704</v>
      </c>
      <c r="F1110" t="s">
        <v>705</v>
      </c>
      <c r="G1110" s="1" t="s">
        <v>787</v>
      </c>
      <c r="I1110" s="1" t="s">
        <v>85</v>
      </c>
      <c r="J1110" s="1" t="s">
        <v>836</v>
      </c>
      <c r="K1110" s="1" t="s">
        <v>789</v>
      </c>
      <c r="L1110">
        <v>8707109000</v>
      </c>
      <c r="M1110" s="2" t="s">
        <v>790</v>
      </c>
      <c r="N1110" s="3" t="s">
        <v>791</v>
      </c>
      <c r="O1110" s="1">
        <v>1</v>
      </c>
      <c r="P1110" s="4">
        <v>54551.25</v>
      </c>
      <c r="Q1110" s="4">
        <v>9488</v>
      </c>
      <c r="R1110" s="4">
        <v>138</v>
      </c>
      <c r="S1110" s="4">
        <v>64177.25</v>
      </c>
      <c r="T1110" s="5">
        <v>880</v>
      </c>
      <c r="U1110" s="5">
        <v>880</v>
      </c>
      <c r="V1110" s="5">
        <v>953</v>
      </c>
      <c r="W1110" s="5">
        <v>953</v>
      </c>
      <c r="X1110" s="4">
        <v>64177.25</v>
      </c>
      <c r="Y1110">
        <v>2280</v>
      </c>
      <c r="Z1110">
        <v>5100</v>
      </c>
      <c r="AA1110">
        <v>1320</v>
      </c>
      <c r="AB1110" s="1">
        <v>15.35</v>
      </c>
    </row>
    <row r="1111" spans="2:28">
      <c r="B1111" s="6" t="str">
        <f t="shared" si="17"/>
        <v>43115-DT1EJ20250101-B-TIIU6453544-BODY</v>
      </c>
      <c r="C1111" t="s">
        <v>785</v>
      </c>
      <c r="D1111" t="s">
        <v>786</v>
      </c>
      <c r="E1111" t="s">
        <v>704</v>
      </c>
      <c r="F1111" t="s">
        <v>705</v>
      </c>
      <c r="G1111" s="1" t="s">
        <v>787</v>
      </c>
      <c r="I1111" s="1" t="s">
        <v>85</v>
      </c>
      <c r="J1111" s="1" t="s">
        <v>837</v>
      </c>
      <c r="K1111" s="1" t="s">
        <v>789</v>
      </c>
      <c r="L1111">
        <v>8707109000</v>
      </c>
      <c r="M1111" s="2" t="s">
        <v>790</v>
      </c>
      <c r="N1111" s="3" t="s">
        <v>791</v>
      </c>
      <c r="O1111" s="1">
        <v>1</v>
      </c>
      <c r="P1111" s="4">
        <v>54551.25</v>
      </c>
      <c r="Q1111" s="4">
        <v>9488</v>
      </c>
      <c r="R1111" s="4">
        <v>138</v>
      </c>
      <c r="S1111" s="4">
        <v>64177.25</v>
      </c>
      <c r="T1111" s="5">
        <v>880</v>
      </c>
      <c r="U1111" s="5">
        <v>880</v>
      </c>
      <c r="V1111" s="5">
        <v>953</v>
      </c>
      <c r="W1111" s="5">
        <v>953</v>
      </c>
      <c r="X1111" s="4">
        <v>64177.25</v>
      </c>
      <c r="Y1111">
        <v>2280</v>
      </c>
      <c r="Z1111">
        <v>5100</v>
      </c>
      <c r="AA1111">
        <v>1320</v>
      </c>
      <c r="AB1111" s="1">
        <v>15.35</v>
      </c>
    </row>
    <row r="1112" spans="2:28">
      <c r="B1112" s="6" t="str">
        <f t="shared" si="17"/>
        <v>43115-DT1EJ20250101-B-TIIU6453631-BODY</v>
      </c>
      <c r="C1112" t="s">
        <v>785</v>
      </c>
      <c r="D1112" t="s">
        <v>786</v>
      </c>
      <c r="E1112" t="s">
        <v>708</v>
      </c>
      <c r="F1112" t="s">
        <v>709</v>
      </c>
      <c r="G1112" s="1" t="s">
        <v>787</v>
      </c>
      <c r="I1112" s="1" t="s">
        <v>85</v>
      </c>
      <c r="J1112" s="1" t="s">
        <v>838</v>
      </c>
      <c r="K1112" s="1" t="s">
        <v>789</v>
      </c>
      <c r="L1112">
        <v>8707109000</v>
      </c>
      <c r="M1112" s="2" t="s">
        <v>790</v>
      </c>
      <c r="N1112" s="3" t="s">
        <v>791</v>
      </c>
      <c r="O1112" s="1">
        <v>1</v>
      </c>
      <c r="P1112" s="4">
        <v>54551.25</v>
      </c>
      <c r="Q1112" s="4">
        <v>9488</v>
      </c>
      <c r="R1112" s="4">
        <v>138</v>
      </c>
      <c r="S1112" s="4">
        <v>64177.25</v>
      </c>
      <c r="T1112" s="5">
        <v>880</v>
      </c>
      <c r="U1112" s="5">
        <v>880</v>
      </c>
      <c r="V1112" s="5">
        <v>953</v>
      </c>
      <c r="W1112" s="5">
        <v>953</v>
      </c>
      <c r="X1112" s="4">
        <v>64177.25</v>
      </c>
      <c r="Y1112">
        <v>2280</v>
      </c>
      <c r="Z1112">
        <v>5100</v>
      </c>
      <c r="AA1112">
        <v>1320</v>
      </c>
      <c r="AB1112" s="1">
        <v>15.35</v>
      </c>
    </row>
    <row r="1113" spans="2:28">
      <c r="B1113" s="6" t="str">
        <f t="shared" si="17"/>
        <v>43115-DT1EJ20250101-B-TIIU6453631-BODY</v>
      </c>
      <c r="C1113" t="s">
        <v>785</v>
      </c>
      <c r="D1113" t="s">
        <v>786</v>
      </c>
      <c r="E1113" t="s">
        <v>708</v>
      </c>
      <c r="F1113" t="s">
        <v>709</v>
      </c>
      <c r="G1113" s="1" t="s">
        <v>787</v>
      </c>
      <c r="I1113" s="1" t="s">
        <v>85</v>
      </c>
      <c r="J1113" s="1" t="s">
        <v>839</v>
      </c>
      <c r="K1113" s="1" t="s">
        <v>789</v>
      </c>
      <c r="L1113">
        <v>8707109000</v>
      </c>
      <c r="M1113" s="2" t="s">
        <v>790</v>
      </c>
      <c r="N1113" s="3" t="s">
        <v>791</v>
      </c>
      <c r="O1113" s="1">
        <v>1</v>
      </c>
      <c r="P1113" s="4">
        <v>54551.25</v>
      </c>
      <c r="Q1113" s="4">
        <v>9488</v>
      </c>
      <c r="R1113" s="4">
        <v>138</v>
      </c>
      <c r="S1113" s="4">
        <v>64177.25</v>
      </c>
      <c r="T1113" s="5">
        <v>880</v>
      </c>
      <c r="U1113" s="5">
        <v>880</v>
      </c>
      <c r="V1113" s="5">
        <v>953</v>
      </c>
      <c r="W1113" s="5">
        <v>953</v>
      </c>
      <c r="X1113" s="4">
        <v>64177.25</v>
      </c>
      <c r="Y1113">
        <v>2280</v>
      </c>
      <c r="Z1113">
        <v>5100</v>
      </c>
      <c r="AA1113">
        <v>1320</v>
      </c>
      <c r="AB1113" s="1">
        <v>15.35</v>
      </c>
    </row>
    <row r="1114" spans="2:28">
      <c r="B1114" s="6" t="str">
        <f t="shared" si="17"/>
        <v>43115-DT1EJ20250101-B-TIIU6453631-BODY</v>
      </c>
      <c r="C1114" t="s">
        <v>785</v>
      </c>
      <c r="D1114" t="s">
        <v>786</v>
      </c>
      <c r="E1114" t="s">
        <v>708</v>
      </c>
      <c r="F1114" t="s">
        <v>709</v>
      </c>
      <c r="G1114" s="1" t="s">
        <v>787</v>
      </c>
      <c r="I1114" s="1" t="s">
        <v>85</v>
      </c>
      <c r="J1114" s="1" t="s">
        <v>840</v>
      </c>
      <c r="K1114" s="1" t="s">
        <v>789</v>
      </c>
      <c r="L1114">
        <v>8707109000</v>
      </c>
      <c r="M1114" s="2" t="s">
        <v>790</v>
      </c>
      <c r="N1114" s="3" t="s">
        <v>791</v>
      </c>
      <c r="O1114" s="1">
        <v>1</v>
      </c>
      <c r="P1114" s="4">
        <v>54551.25</v>
      </c>
      <c r="Q1114" s="4">
        <v>9488</v>
      </c>
      <c r="R1114" s="4">
        <v>138</v>
      </c>
      <c r="S1114" s="4">
        <v>64177.25</v>
      </c>
      <c r="T1114" s="5">
        <v>880</v>
      </c>
      <c r="U1114" s="5">
        <v>880</v>
      </c>
      <c r="V1114" s="5">
        <v>953</v>
      </c>
      <c r="W1114" s="5">
        <v>953</v>
      </c>
      <c r="X1114" s="4">
        <v>64177.25</v>
      </c>
      <c r="Y1114">
        <v>2280</v>
      </c>
      <c r="Z1114">
        <v>5100</v>
      </c>
      <c r="AA1114">
        <v>1320</v>
      </c>
      <c r="AB1114" s="1">
        <v>15.35</v>
      </c>
    </row>
    <row r="1115" spans="2:28">
      <c r="B1115" s="6" t="str">
        <f t="shared" si="17"/>
        <v>43115-DT1EJ20250101-B-TIIU6453631-BODY</v>
      </c>
      <c r="C1115" t="s">
        <v>785</v>
      </c>
      <c r="D1115" t="s">
        <v>786</v>
      </c>
      <c r="E1115" t="s">
        <v>708</v>
      </c>
      <c r="F1115" t="s">
        <v>709</v>
      </c>
      <c r="G1115" s="1" t="s">
        <v>787</v>
      </c>
      <c r="I1115" s="1" t="s">
        <v>85</v>
      </c>
      <c r="J1115" s="1" t="s">
        <v>841</v>
      </c>
      <c r="K1115" s="1" t="s">
        <v>789</v>
      </c>
      <c r="L1115">
        <v>8707109000</v>
      </c>
      <c r="M1115" s="2" t="s">
        <v>790</v>
      </c>
      <c r="N1115" s="3" t="s">
        <v>791</v>
      </c>
      <c r="O1115" s="1">
        <v>1</v>
      </c>
      <c r="P1115" s="4">
        <v>54551.25</v>
      </c>
      <c r="Q1115" s="4">
        <v>9488</v>
      </c>
      <c r="R1115" s="4">
        <v>138</v>
      </c>
      <c r="S1115" s="4">
        <v>64177.25</v>
      </c>
      <c r="T1115" s="5">
        <v>880</v>
      </c>
      <c r="U1115" s="5">
        <v>880</v>
      </c>
      <c r="V1115" s="5">
        <v>953</v>
      </c>
      <c r="W1115" s="5">
        <v>953</v>
      </c>
      <c r="X1115" s="4">
        <v>64177.25</v>
      </c>
      <c r="Y1115">
        <v>2280</v>
      </c>
      <c r="Z1115">
        <v>5100</v>
      </c>
      <c r="AA1115">
        <v>1320</v>
      </c>
      <c r="AB1115" s="1">
        <v>15.35</v>
      </c>
    </row>
    <row r="1116" spans="2:28">
      <c r="B1116" s="6" t="str">
        <f t="shared" si="17"/>
        <v>43115-DT1EJ20250101-B-TIIU6453652-BODY</v>
      </c>
      <c r="C1116" t="s">
        <v>785</v>
      </c>
      <c r="D1116" t="s">
        <v>786</v>
      </c>
      <c r="E1116" t="s">
        <v>712</v>
      </c>
      <c r="F1116" t="s">
        <v>713</v>
      </c>
      <c r="G1116" s="1" t="s">
        <v>787</v>
      </c>
      <c r="I1116" s="1" t="s">
        <v>85</v>
      </c>
      <c r="J1116" s="1" t="s">
        <v>842</v>
      </c>
      <c r="K1116" s="1" t="s">
        <v>789</v>
      </c>
      <c r="L1116">
        <v>8707109000</v>
      </c>
      <c r="M1116" s="2" t="s">
        <v>790</v>
      </c>
      <c r="N1116" s="3" t="s">
        <v>791</v>
      </c>
      <c r="O1116" s="1">
        <v>1</v>
      </c>
      <c r="P1116" s="4">
        <v>54551.25</v>
      </c>
      <c r="Q1116" s="4">
        <v>9488</v>
      </c>
      <c r="R1116" s="4">
        <v>138</v>
      </c>
      <c r="S1116" s="4">
        <v>64177.25</v>
      </c>
      <c r="T1116" s="5">
        <v>880</v>
      </c>
      <c r="U1116" s="5">
        <v>880</v>
      </c>
      <c r="V1116" s="5">
        <v>953</v>
      </c>
      <c r="W1116" s="5">
        <v>953</v>
      </c>
      <c r="X1116" s="4">
        <v>64177.25</v>
      </c>
      <c r="Y1116">
        <v>2280</v>
      </c>
      <c r="Z1116">
        <v>5100</v>
      </c>
      <c r="AA1116">
        <v>1320</v>
      </c>
      <c r="AB1116" s="1">
        <v>15.35</v>
      </c>
    </row>
    <row r="1117" spans="2:28">
      <c r="B1117" s="6" t="str">
        <f t="shared" si="17"/>
        <v>43115-DT1EJ20250101-B-TIIU6453652-BODY</v>
      </c>
      <c r="C1117" t="s">
        <v>785</v>
      </c>
      <c r="D1117" t="s">
        <v>786</v>
      </c>
      <c r="E1117" t="s">
        <v>712</v>
      </c>
      <c r="F1117" t="s">
        <v>713</v>
      </c>
      <c r="G1117" s="1" t="s">
        <v>787</v>
      </c>
      <c r="I1117" s="1" t="s">
        <v>85</v>
      </c>
      <c r="J1117" s="1" t="s">
        <v>843</v>
      </c>
      <c r="K1117" s="1" t="s">
        <v>789</v>
      </c>
      <c r="L1117">
        <v>8707109000</v>
      </c>
      <c r="M1117" s="2" t="s">
        <v>790</v>
      </c>
      <c r="N1117" s="3" t="s">
        <v>791</v>
      </c>
      <c r="O1117" s="1">
        <v>1</v>
      </c>
      <c r="P1117" s="4">
        <v>54551.25</v>
      </c>
      <c r="Q1117" s="4">
        <v>9488</v>
      </c>
      <c r="R1117" s="4">
        <v>138</v>
      </c>
      <c r="S1117" s="4">
        <v>64177.25</v>
      </c>
      <c r="T1117" s="5">
        <v>880</v>
      </c>
      <c r="U1117" s="5">
        <v>880</v>
      </c>
      <c r="V1117" s="5">
        <v>953</v>
      </c>
      <c r="W1117" s="5">
        <v>953</v>
      </c>
      <c r="X1117" s="4">
        <v>64177.25</v>
      </c>
      <c r="Y1117">
        <v>2280</v>
      </c>
      <c r="Z1117">
        <v>5100</v>
      </c>
      <c r="AA1117">
        <v>1320</v>
      </c>
      <c r="AB1117" s="1">
        <v>15.35</v>
      </c>
    </row>
    <row r="1118" customHeight="1" spans="2:28">
      <c r="B1118" s="6" t="str">
        <f t="shared" si="17"/>
        <v>43115-DT1EJ20250101-B-TIIU6453652-BODY</v>
      </c>
      <c r="C1118" s="29" t="s">
        <v>785</v>
      </c>
      <c r="D1118" s="30" t="s">
        <v>786</v>
      </c>
      <c r="E1118" s="30" t="s">
        <v>712</v>
      </c>
      <c r="F1118" s="30" t="s">
        <v>713</v>
      </c>
      <c r="G1118" s="31" t="s">
        <v>787</v>
      </c>
      <c r="H1118" s="31"/>
      <c r="I1118" s="31" t="s">
        <v>85</v>
      </c>
      <c r="J1118" s="31" t="s">
        <v>844</v>
      </c>
      <c r="K1118" s="31" t="s">
        <v>789</v>
      </c>
      <c r="L1118" s="31">
        <v>8707109000</v>
      </c>
      <c r="M1118" s="32" t="s">
        <v>790</v>
      </c>
      <c r="N1118" s="33" t="s">
        <v>791</v>
      </c>
      <c r="O1118" s="31">
        <v>1</v>
      </c>
      <c r="P1118" s="34">
        <v>54551.25</v>
      </c>
      <c r="Q1118" s="34">
        <v>9488</v>
      </c>
      <c r="R1118" s="34">
        <v>138</v>
      </c>
      <c r="S1118" s="34">
        <v>64177.25</v>
      </c>
      <c r="T1118" s="35">
        <v>880</v>
      </c>
      <c r="U1118" s="35">
        <v>880</v>
      </c>
      <c r="V1118" s="35">
        <v>953</v>
      </c>
      <c r="W1118" s="35">
        <v>953</v>
      </c>
      <c r="X1118" s="34">
        <v>64177.25</v>
      </c>
      <c r="Y1118" s="31">
        <v>2280</v>
      </c>
      <c r="Z1118" s="31">
        <v>5100</v>
      </c>
      <c r="AA1118" s="31">
        <v>1320</v>
      </c>
      <c r="AB1118" s="31">
        <v>15.35</v>
      </c>
    </row>
    <row r="1119" customHeight="1" spans="2:28">
      <c r="B1119" s="6" t="str">
        <f t="shared" si="17"/>
        <v>43115-DT1EJ20250101-B-TIIU6453652-BODY</v>
      </c>
      <c r="C1119" s="29" t="s">
        <v>785</v>
      </c>
      <c r="D1119" s="30" t="s">
        <v>786</v>
      </c>
      <c r="E1119" s="30" t="s">
        <v>712</v>
      </c>
      <c r="F1119" s="30" t="s">
        <v>713</v>
      </c>
      <c r="G1119" s="31" t="s">
        <v>787</v>
      </c>
      <c r="H1119" s="31"/>
      <c r="I1119" s="31" t="s">
        <v>85</v>
      </c>
      <c r="J1119" s="31" t="s">
        <v>845</v>
      </c>
      <c r="K1119" s="31" t="s">
        <v>789</v>
      </c>
      <c r="L1119" s="31">
        <v>8707109000</v>
      </c>
      <c r="M1119" s="32" t="s">
        <v>790</v>
      </c>
      <c r="N1119" s="33" t="s">
        <v>791</v>
      </c>
      <c r="O1119" s="31">
        <v>1</v>
      </c>
      <c r="P1119" s="34">
        <v>54551.25</v>
      </c>
      <c r="Q1119" s="34">
        <v>9488</v>
      </c>
      <c r="R1119" s="34">
        <v>138</v>
      </c>
      <c r="S1119" s="34">
        <v>64177.25</v>
      </c>
      <c r="T1119" s="35">
        <v>880</v>
      </c>
      <c r="U1119" s="35">
        <v>880</v>
      </c>
      <c r="V1119" s="35">
        <v>953</v>
      </c>
      <c r="W1119" s="35">
        <v>953</v>
      </c>
      <c r="X1119" s="34">
        <v>64177.25</v>
      </c>
      <c r="Y1119" s="31">
        <v>2280</v>
      </c>
      <c r="Z1119" s="31">
        <v>5100</v>
      </c>
      <c r="AA1119" s="31">
        <v>1320</v>
      </c>
      <c r="AB1119" s="31">
        <v>15.35</v>
      </c>
    </row>
    <row r="1120" spans="2:28">
      <c r="B1120" s="6" t="str">
        <f t="shared" si="17"/>
        <v>43115-DT1EJ20250101-B-TIIU6453673-BODY</v>
      </c>
      <c r="C1120" t="s">
        <v>785</v>
      </c>
      <c r="D1120" t="s">
        <v>786</v>
      </c>
      <c r="E1120" t="s">
        <v>716</v>
      </c>
      <c r="F1120" t="s">
        <v>717</v>
      </c>
      <c r="G1120" s="1" t="s">
        <v>787</v>
      </c>
      <c r="I1120" s="1" t="s">
        <v>85</v>
      </c>
      <c r="J1120" s="1" t="s">
        <v>846</v>
      </c>
      <c r="K1120" s="1" t="s">
        <v>789</v>
      </c>
      <c r="L1120">
        <v>8707109000</v>
      </c>
      <c r="M1120" s="2" t="s">
        <v>790</v>
      </c>
      <c r="N1120" s="3" t="s">
        <v>791</v>
      </c>
      <c r="O1120" s="1">
        <v>1</v>
      </c>
      <c r="P1120" s="4">
        <v>54551.25</v>
      </c>
      <c r="Q1120" s="4">
        <v>9488</v>
      </c>
      <c r="R1120" s="4">
        <v>138</v>
      </c>
      <c r="S1120" s="4">
        <v>64177.25</v>
      </c>
      <c r="T1120" s="5">
        <v>880</v>
      </c>
      <c r="U1120" s="5">
        <v>880</v>
      </c>
      <c r="V1120" s="5">
        <v>953</v>
      </c>
      <c r="W1120" s="5">
        <v>953</v>
      </c>
      <c r="X1120" s="4">
        <v>64177.25</v>
      </c>
      <c r="Y1120">
        <v>2280</v>
      </c>
      <c r="Z1120">
        <v>5100</v>
      </c>
      <c r="AA1120">
        <v>1320</v>
      </c>
      <c r="AB1120" s="1">
        <v>15.35</v>
      </c>
    </row>
    <row r="1121" spans="2:28">
      <c r="B1121" s="6" t="str">
        <f t="shared" si="17"/>
        <v>43115-DT1EJ20250101-B-TIIU6453673-BODY</v>
      </c>
      <c r="C1121" t="s">
        <v>785</v>
      </c>
      <c r="D1121" t="s">
        <v>786</v>
      </c>
      <c r="E1121" t="s">
        <v>716</v>
      </c>
      <c r="F1121" t="s">
        <v>717</v>
      </c>
      <c r="G1121" s="1" t="s">
        <v>787</v>
      </c>
      <c r="I1121" s="1" t="s">
        <v>85</v>
      </c>
      <c r="J1121" s="1" t="s">
        <v>847</v>
      </c>
      <c r="K1121" s="1" t="s">
        <v>789</v>
      </c>
      <c r="L1121">
        <v>8707109000</v>
      </c>
      <c r="M1121" s="2" t="s">
        <v>790</v>
      </c>
      <c r="N1121" s="3" t="s">
        <v>791</v>
      </c>
      <c r="O1121" s="1">
        <v>1</v>
      </c>
      <c r="P1121" s="4">
        <v>54551.25</v>
      </c>
      <c r="Q1121" s="4">
        <v>9488</v>
      </c>
      <c r="R1121" s="4">
        <v>138</v>
      </c>
      <c r="S1121" s="4">
        <v>64177.25</v>
      </c>
      <c r="T1121" s="5">
        <v>880</v>
      </c>
      <c r="U1121" s="5">
        <v>880</v>
      </c>
      <c r="V1121" s="5">
        <v>953</v>
      </c>
      <c r="W1121" s="5">
        <v>953</v>
      </c>
      <c r="X1121" s="4">
        <v>64177.25</v>
      </c>
      <c r="Y1121">
        <v>2280</v>
      </c>
      <c r="Z1121">
        <v>5100</v>
      </c>
      <c r="AA1121">
        <v>1320</v>
      </c>
      <c r="AB1121" s="1">
        <v>15.35</v>
      </c>
    </row>
    <row r="1122" spans="2:28">
      <c r="B1122" s="6" t="str">
        <f t="shared" si="17"/>
        <v>43115-DT1EJ20250101-B-TIIU6453673-BODY</v>
      </c>
      <c r="C1122" t="s">
        <v>785</v>
      </c>
      <c r="D1122" t="s">
        <v>786</v>
      </c>
      <c r="E1122" t="s">
        <v>716</v>
      </c>
      <c r="F1122" t="s">
        <v>717</v>
      </c>
      <c r="G1122" s="1" t="s">
        <v>787</v>
      </c>
      <c r="I1122" s="1" t="s">
        <v>85</v>
      </c>
      <c r="J1122" s="1" t="s">
        <v>848</v>
      </c>
      <c r="K1122" s="1" t="s">
        <v>789</v>
      </c>
      <c r="L1122">
        <v>8707109000</v>
      </c>
      <c r="M1122" s="2" t="s">
        <v>790</v>
      </c>
      <c r="N1122" s="3" t="s">
        <v>791</v>
      </c>
      <c r="O1122" s="1">
        <v>1</v>
      </c>
      <c r="P1122" s="4">
        <v>54551.25</v>
      </c>
      <c r="Q1122" s="4">
        <v>9488</v>
      </c>
      <c r="R1122" s="4">
        <v>138</v>
      </c>
      <c r="S1122" s="4">
        <v>64177.25</v>
      </c>
      <c r="T1122" s="5">
        <v>880</v>
      </c>
      <c r="U1122" s="5">
        <v>880</v>
      </c>
      <c r="V1122" s="5">
        <v>953</v>
      </c>
      <c r="W1122" s="5">
        <v>953</v>
      </c>
      <c r="X1122" s="4">
        <v>64177.25</v>
      </c>
      <c r="Y1122">
        <v>2280</v>
      </c>
      <c r="Z1122">
        <v>5100</v>
      </c>
      <c r="AA1122">
        <v>1320</v>
      </c>
      <c r="AB1122" s="1">
        <v>15.35</v>
      </c>
    </row>
    <row r="1123" spans="2:28">
      <c r="B1123" s="6" t="str">
        <f t="shared" si="17"/>
        <v>43115-DT1EJ20250101-B-TIIU6453673-BODY</v>
      </c>
      <c r="C1123" t="s">
        <v>785</v>
      </c>
      <c r="D1123" t="s">
        <v>786</v>
      </c>
      <c r="E1123" t="s">
        <v>716</v>
      </c>
      <c r="F1123" t="s">
        <v>717</v>
      </c>
      <c r="G1123" s="1" t="s">
        <v>787</v>
      </c>
      <c r="I1123" s="1" t="s">
        <v>85</v>
      </c>
      <c r="J1123" s="1" t="s">
        <v>849</v>
      </c>
      <c r="K1123" s="1" t="s">
        <v>789</v>
      </c>
      <c r="L1123">
        <v>8707109000</v>
      </c>
      <c r="M1123" s="2" t="s">
        <v>790</v>
      </c>
      <c r="N1123" s="3" t="s">
        <v>791</v>
      </c>
      <c r="O1123" s="1">
        <v>1</v>
      </c>
      <c r="P1123" s="4">
        <v>54551.25</v>
      </c>
      <c r="Q1123" s="4">
        <v>9488</v>
      </c>
      <c r="R1123" s="4">
        <v>138</v>
      </c>
      <c r="S1123" s="4">
        <v>64177.25</v>
      </c>
      <c r="T1123" s="5">
        <v>880</v>
      </c>
      <c r="U1123" s="5">
        <v>880</v>
      </c>
      <c r="V1123" s="5">
        <v>953</v>
      </c>
      <c r="W1123" s="5">
        <v>953</v>
      </c>
      <c r="X1123" s="4">
        <v>64177.25</v>
      </c>
      <c r="Y1123">
        <v>2280</v>
      </c>
      <c r="Z1123">
        <v>5100</v>
      </c>
      <c r="AA1123">
        <v>1320</v>
      </c>
      <c r="AB1123" s="1">
        <v>15.35</v>
      </c>
    </row>
    <row r="1124" customHeight="1" spans="2:28">
      <c r="B1124" s="6" t="str">
        <f t="shared" si="17"/>
        <v>43115-DT1EJ20250101-B-TIIU6453760-BODY</v>
      </c>
      <c r="C1124" s="29" t="s">
        <v>785</v>
      </c>
      <c r="D1124" s="30" t="s">
        <v>786</v>
      </c>
      <c r="E1124" s="30" t="s">
        <v>720</v>
      </c>
      <c r="F1124" s="30" t="s">
        <v>721</v>
      </c>
      <c r="G1124" s="31" t="s">
        <v>787</v>
      </c>
      <c r="H1124" s="31"/>
      <c r="I1124" s="31" t="s">
        <v>85</v>
      </c>
      <c r="J1124" s="31" t="s">
        <v>850</v>
      </c>
      <c r="K1124" s="31" t="s">
        <v>789</v>
      </c>
      <c r="L1124" s="31">
        <v>8707109000</v>
      </c>
      <c r="M1124" s="32" t="s">
        <v>790</v>
      </c>
      <c r="N1124" s="33" t="s">
        <v>791</v>
      </c>
      <c r="O1124" s="31">
        <v>1</v>
      </c>
      <c r="P1124" s="34">
        <v>54551.25</v>
      </c>
      <c r="Q1124" s="34">
        <v>9488</v>
      </c>
      <c r="R1124" s="34">
        <v>138</v>
      </c>
      <c r="S1124" s="34">
        <v>64177.25</v>
      </c>
      <c r="T1124" s="35">
        <v>880</v>
      </c>
      <c r="U1124" s="35">
        <v>880</v>
      </c>
      <c r="V1124" s="35">
        <v>953</v>
      </c>
      <c r="W1124" s="35">
        <v>953</v>
      </c>
      <c r="X1124" s="34">
        <v>64177.25</v>
      </c>
      <c r="Y1124" s="31">
        <v>2280</v>
      </c>
      <c r="Z1124" s="31">
        <v>5100</v>
      </c>
      <c r="AA1124" s="31">
        <v>1320</v>
      </c>
      <c r="AB1124" s="31">
        <v>15.35</v>
      </c>
    </row>
    <row r="1125" spans="2:28">
      <c r="B1125" s="6" t="str">
        <f t="shared" si="17"/>
        <v>43115-DT1EJ20250101-B-TIIU6453760-BODY</v>
      </c>
      <c r="C1125" t="s">
        <v>785</v>
      </c>
      <c r="D1125" t="s">
        <v>786</v>
      </c>
      <c r="E1125" t="s">
        <v>720</v>
      </c>
      <c r="F1125" t="s">
        <v>721</v>
      </c>
      <c r="G1125" s="1" t="s">
        <v>787</v>
      </c>
      <c r="I1125" s="1" t="s">
        <v>85</v>
      </c>
      <c r="J1125" s="1" t="s">
        <v>851</v>
      </c>
      <c r="K1125" s="1" t="s">
        <v>789</v>
      </c>
      <c r="L1125">
        <v>8707109000</v>
      </c>
      <c r="M1125" s="2" t="s">
        <v>790</v>
      </c>
      <c r="N1125" s="3" t="s">
        <v>791</v>
      </c>
      <c r="O1125" s="1">
        <v>1</v>
      </c>
      <c r="P1125" s="4">
        <v>54551.25</v>
      </c>
      <c r="Q1125" s="4">
        <v>9488</v>
      </c>
      <c r="R1125" s="4">
        <v>138</v>
      </c>
      <c r="S1125" s="4">
        <v>64177.25</v>
      </c>
      <c r="T1125" s="5">
        <v>880</v>
      </c>
      <c r="U1125" s="5">
        <v>880</v>
      </c>
      <c r="V1125" s="5">
        <v>953</v>
      </c>
      <c r="W1125" s="5">
        <v>953</v>
      </c>
      <c r="X1125" s="4">
        <v>64177.25</v>
      </c>
      <c r="Y1125">
        <v>2280</v>
      </c>
      <c r="Z1125">
        <v>5100</v>
      </c>
      <c r="AA1125">
        <v>1320</v>
      </c>
      <c r="AB1125" s="1">
        <v>15.35</v>
      </c>
    </row>
    <row r="1126" spans="2:28">
      <c r="B1126" s="6" t="str">
        <f t="shared" si="17"/>
        <v>43115-DT1EJ20250101-B-TIIU6453760-BODY</v>
      </c>
      <c r="C1126" t="s">
        <v>785</v>
      </c>
      <c r="D1126" t="s">
        <v>786</v>
      </c>
      <c r="E1126" t="s">
        <v>720</v>
      </c>
      <c r="F1126" t="s">
        <v>721</v>
      </c>
      <c r="G1126" s="1" t="s">
        <v>787</v>
      </c>
      <c r="I1126" s="1" t="s">
        <v>85</v>
      </c>
      <c r="J1126" s="1" t="s">
        <v>852</v>
      </c>
      <c r="K1126" s="1" t="s">
        <v>789</v>
      </c>
      <c r="L1126">
        <v>8707109000</v>
      </c>
      <c r="M1126" s="2" t="s">
        <v>790</v>
      </c>
      <c r="N1126" s="3" t="s">
        <v>791</v>
      </c>
      <c r="O1126" s="1">
        <v>1</v>
      </c>
      <c r="P1126" s="4">
        <v>54551.25</v>
      </c>
      <c r="Q1126" s="4">
        <v>9488</v>
      </c>
      <c r="R1126" s="4">
        <v>138</v>
      </c>
      <c r="S1126" s="4">
        <v>64177.25</v>
      </c>
      <c r="T1126" s="5">
        <v>880</v>
      </c>
      <c r="U1126" s="5">
        <v>880</v>
      </c>
      <c r="V1126" s="5">
        <v>953</v>
      </c>
      <c r="W1126" s="5">
        <v>953</v>
      </c>
      <c r="X1126" s="4">
        <v>64177.25</v>
      </c>
      <c r="Y1126">
        <v>2280</v>
      </c>
      <c r="Z1126">
        <v>5100</v>
      </c>
      <c r="AA1126">
        <v>1320</v>
      </c>
      <c r="AB1126" s="1">
        <v>15.35</v>
      </c>
    </row>
    <row r="1127" customHeight="1" spans="2:28">
      <c r="B1127" s="6" t="str">
        <f t="shared" si="17"/>
        <v>43115-DT1EJ20250101-B-TIIU6453760-BODY</v>
      </c>
      <c r="C1127" s="29" t="s">
        <v>785</v>
      </c>
      <c r="D1127" s="30" t="s">
        <v>786</v>
      </c>
      <c r="E1127" s="30" t="s">
        <v>720</v>
      </c>
      <c r="F1127" s="30" t="s">
        <v>721</v>
      </c>
      <c r="G1127" s="31" t="s">
        <v>787</v>
      </c>
      <c r="H1127" s="31"/>
      <c r="I1127" s="31" t="s">
        <v>85</v>
      </c>
      <c r="J1127" s="31" t="s">
        <v>853</v>
      </c>
      <c r="K1127" s="31" t="s">
        <v>789</v>
      </c>
      <c r="L1127" s="31">
        <v>8707109000</v>
      </c>
      <c r="M1127" s="32" t="s">
        <v>790</v>
      </c>
      <c r="N1127" s="33" t="s">
        <v>791</v>
      </c>
      <c r="O1127" s="31">
        <v>1</v>
      </c>
      <c r="P1127" s="34">
        <v>54551.25</v>
      </c>
      <c r="Q1127" s="34">
        <v>9488</v>
      </c>
      <c r="R1127" s="34">
        <v>138</v>
      </c>
      <c r="S1127" s="34">
        <v>64177.25</v>
      </c>
      <c r="T1127" s="35">
        <v>880</v>
      </c>
      <c r="U1127" s="35">
        <v>880</v>
      </c>
      <c r="V1127" s="35">
        <v>953</v>
      </c>
      <c r="W1127" s="35">
        <v>953</v>
      </c>
      <c r="X1127" s="34">
        <v>64177.25</v>
      </c>
      <c r="Y1127" s="31">
        <v>2280</v>
      </c>
      <c r="Z1127" s="31">
        <v>5100</v>
      </c>
      <c r="AA1127" s="31">
        <v>1320</v>
      </c>
      <c r="AB1127" s="31">
        <v>15.35</v>
      </c>
    </row>
    <row r="1128" spans="2:28">
      <c r="B1128" s="6" t="str">
        <f t="shared" si="17"/>
        <v>43115-DT1EJ20250101-B-TIIU6455594-BODY</v>
      </c>
      <c r="C1128" t="s">
        <v>785</v>
      </c>
      <c r="D1128" t="s">
        <v>786</v>
      </c>
      <c r="E1128" t="s">
        <v>724</v>
      </c>
      <c r="F1128" t="s">
        <v>725</v>
      </c>
      <c r="G1128" s="1" t="s">
        <v>787</v>
      </c>
      <c r="I1128" s="1" t="s">
        <v>85</v>
      </c>
      <c r="J1128" s="1" t="s">
        <v>854</v>
      </c>
      <c r="K1128" s="1" t="s">
        <v>789</v>
      </c>
      <c r="L1128">
        <v>8707109000</v>
      </c>
      <c r="M1128" s="2" t="s">
        <v>790</v>
      </c>
      <c r="N1128" s="3" t="s">
        <v>791</v>
      </c>
      <c r="O1128" s="1">
        <v>1</v>
      </c>
      <c r="P1128" s="4">
        <v>54551.25</v>
      </c>
      <c r="Q1128" s="4">
        <v>9488</v>
      </c>
      <c r="R1128" s="4">
        <v>138</v>
      </c>
      <c r="S1128" s="4">
        <v>64177.25</v>
      </c>
      <c r="T1128" s="5">
        <v>880</v>
      </c>
      <c r="U1128" s="5">
        <v>880</v>
      </c>
      <c r="V1128" s="5">
        <v>953</v>
      </c>
      <c r="W1128" s="5">
        <v>953</v>
      </c>
      <c r="X1128" s="4">
        <v>64177.25</v>
      </c>
      <c r="Y1128">
        <v>2280</v>
      </c>
      <c r="Z1128">
        <v>5100</v>
      </c>
      <c r="AA1128">
        <v>1320</v>
      </c>
      <c r="AB1128" s="1">
        <v>15.35</v>
      </c>
    </row>
    <row r="1129" spans="2:28">
      <c r="B1129" s="6" t="str">
        <f t="shared" si="17"/>
        <v>43115-DT1EJ20250101-B-TIIU6455594-BODY</v>
      </c>
      <c r="C1129" t="s">
        <v>785</v>
      </c>
      <c r="D1129" t="s">
        <v>786</v>
      </c>
      <c r="E1129" t="s">
        <v>724</v>
      </c>
      <c r="F1129" t="s">
        <v>725</v>
      </c>
      <c r="G1129" s="1" t="s">
        <v>787</v>
      </c>
      <c r="I1129" s="1" t="s">
        <v>85</v>
      </c>
      <c r="J1129" s="1" t="s">
        <v>855</v>
      </c>
      <c r="K1129" s="1" t="s">
        <v>789</v>
      </c>
      <c r="L1129">
        <v>8707109000</v>
      </c>
      <c r="M1129" s="2" t="s">
        <v>790</v>
      </c>
      <c r="N1129" s="3" t="s">
        <v>791</v>
      </c>
      <c r="O1129" s="1">
        <v>1</v>
      </c>
      <c r="P1129" s="4">
        <v>54551.25</v>
      </c>
      <c r="Q1129" s="4">
        <v>9488</v>
      </c>
      <c r="R1129" s="4">
        <v>138</v>
      </c>
      <c r="S1129" s="4">
        <v>64177.25</v>
      </c>
      <c r="T1129" s="5">
        <v>880</v>
      </c>
      <c r="U1129" s="5">
        <v>880</v>
      </c>
      <c r="V1129" s="5">
        <v>953</v>
      </c>
      <c r="W1129" s="5">
        <v>953</v>
      </c>
      <c r="X1129" s="4">
        <v>64177.25</v>
      </c>
      <c r="Y1129">
        <v>2280</v>
      </c>
      <c r="Z1129">
        <v>5100</v>
      </c>
      <c r="AA1129">
        <v>1320</v>
      </c>
      <c r="AB1129" s="1">
        <v>15.35</v>
      </c>
    </row>
    <row r="1130" spans="2:28">
      <c r="B1130" s="6" t="str">
        <f t="shared" si="17"/>
        <v>43115-DT1EJ20250101-B-TIIU6455594-BODY</v>
      </c>
      <c r="C1130" t="s">
        <v>785</v>
      </c>
      <c r="D1130" t="s">
        <v>786</v>
      </c>
      <c r="E1130" t="s">
        <v>724</v>
      </c>
      <c r="F1130" t="s">
        <v>725</v>
      </c>
      <c r="G1130" s="1" t="s">
        <v>787</v>
      </c>
      <c r="I1130" s="1" t="s">
        <v>85</v>
      </c>
      <c r="J1130" s="1" t="s">
        <v>856</v>
      </c>
      <c r="K1130" s="1" t="s">
        <v>789</v>
      </c>
      <c r="L1130">
        <v>8707109000</v>
      </c>
      <c r="M1130" s="2" t="s">
        <v>790</v>
      </c>
      <c r="N1130" s="3" t="s">
        <v>791</v>
      </c>
      <c r="O1130" s="1">
        <v>1</v>
      </c>
      <c r="P1130" s="4">
        <v>54551.25</v>
      </c>
      <c r="Q1130" s="4">
        <v>9488</v>
      </c>
      <c r="R1130" s="4">
        <v>138</v>
      </c>
      <c r="S1130" s="4">
        <v>64177.25</v>
      </c>
      <c r="T1130" s="5">
        <v>880</v>
      </c>
      <c r="U1130" s="5">
        <v>880</v>
      </c>
      <c r="V1130" s="5">
        <v>953</v>
      </c>
      <c r="W1130" s="5">
        <v>953</v>
      </c>
      <c r="X1130" s="4">
        <v>64177.25</v>
      </c>
      <c r="Y1130">
        <v>2280</v>
      </c>
      <c r="Z1130">
        <v>5100</v>
      </c>
      <c r="AA1130">
        <v>1320</v>
      </c>
      <c r="AB1130" s="1">
        <v>15.35</v>
      </c>
    </row>
    <row r="1131" spans="2:28">
      <c r="B1131" s="6" t="str">
        <f t="shared" si="17"/>
        <v>43115-DT1EJ20250101-B-TIIU6455594-BODY</v>
      </c>
      <c r="C1131" t="s">
        <v>785</v>
      </c>
      <c r="D1131" t="s">
        <v>786</v>
      </c>
      <c r="E1131" t="s">
        <v>724</v>
      </c>
      <c r="F1131" t="s">
        <v>725</v>
      </c>
      <c r="G1131" s="1" t="s">
        <v>787</v>
      </c>
      <c r="I1131" s="1" t="s">
        <v>85</v>
      </c>
      <c r="J1131" s="1" t="s">
        <v>857</v>
      </c>
      <c r="K1131" s="1" t="s">
        <v>789</v>
      </c>
      <c r="L1131">
        <v>8707109000</v>
      </c>
      <c r="M1131" s="2" t="s">
        <v>790</v>
      </c>
      <c r="N1131" s="3" t="s">
        <v>791</v>
      </c>
      <c r="O1131" s="1">
        <v>1</v>
      </c>
      <c r="P1131" s="4">
        <v>54551.25</v>
      </c>
      <c r="Q1131" s="4">
        <v>9488</v>
      </c>
      <c r="R1131" s="4">
        <v>138</v>
      </c>
      <c r="S1131" s="4">
        <v>64177.25</v>
      </c>
      <c r="T1131" s="5">
        <v>880</v>
      </c>
      <c r="U1131" s="5">
        <v>880</v>
      </c>
      <c r="V1131" s="5">
        <v>953</v>
      </c>
      <c r="W1131" s="5">
        <v>953</v>
      </c>
      <c r="X1131" s="4">
        <v>64177.25</v>
      </c>
      <c r="Y1131">
        <v>2280</v>
      </c>
      <c r="Z1131">
        <v>5100</v>
      </c>
      <c r="AA1131">
        <v>1320</v>
      </c>
      <c r="AB1131" s="1">
        <v>15.35</v>
      </c>
    </row>
    <row r="1132" spans="2:28">
      <c r="B1132" s="6" t="str">
        <f t="shared" si="17"/>
        <v>43115-DT1EJ20250101-B-TIIU6455655-BODY</v>
      </c>
      <c r="C1132" t="s">
        <v>785</v>
      </c>
      <c r="D1132" t="s">
        <v>786</v>
      </c>
      <c r="E1132" t="s">
        <v>728</v>
      </c>
      <c r="F1132" t="s">
        <v>729</v>
      </c>
      <c r="G1132" s="1" t="s">
        <v>787</v>
      </c>
      <c r="I1132" s="1" t="s">
        <v>85</v>
      </c>
      <c r="J1132" s="1" t="s">
        <v>858</v>
      </c>
      <c r="K1132" s="1" t="s">
        <v>789</v>
      </c>
      <c r="L1132">
        <v>8707109000</v>
      </c>
      <c r="M1132" s="2" t="s">
        <v>790</v>
      </c>
      <c r="N1132" s="3" t="s">
        <v>791</v>
      </c>
      <c r="O1132" s="1">
        <v>1</v>
      </c>
      <c r="P1132" s="4">
        <v>54551.25</v>
      </c>
      <c r="Q1132" s="4">
        <v>9488</v>
      </c>
      <c r="R1132" s="4">
        <v>138</v>
      </c>
      <c r="S1132" s="4">
        <v>64177.25</v>
      </c>
      <c r="T1132" s="5">
        <v>880</v>
      </c>
      <c r="U1132" s="5">
        <v>880</v>
      </c>
      <c r="V1132" s="5">
        <v>953</v>
      </c>
      <c r="W1132" s="5">
        <v>953</v>
      </c>
      <c r="X1132" s="4">
        <v>64177.25</v>
      </c>
      <c r="Y1132">
        <v>2280</v>
      </c>
      <c r="Z1132">
        <v>5100</v>
      </c>
      <c r="AA1132">
        <v>1320</v>
      </c>
      <c r="AB1132" s="1">
        <v>15.35</v>
      </c>
    </row>
    <row r="1133" spans="2:28">
      <c r="B1133" s="6" t="str">
        <f t="shared" si="17"/>
        <v>43115-DT1EJ20250101-B-TIIU6455655-BODY</v>
      </c>
      <c r="C1133" t="s">
        <v>785</v>
      </c>
      <c r="D1133" t="s">
        <v>786</v>
      </c>
      <c r="E1133" t="s">
        <v>728</v>
      </c>
      <c r="F1133" t="s">
        <v>729</v>
      </c>
      <c r="G1133" s="1" t="s">
        <v>787</v>
      </c>
      <c r="I1133" s="1" t="s">
        <v>85</v>
      </c>
      <c r="J1133" s="1" t="s">
        <v>859</v>
      </c>
      <c r="K1133" s="1" t="s">
        <v>789</v>
      </c>
      <c r="L1133">
        <v>8707109000</v>
      </c>
      <c r="M1133" s="2" t="s">
        <v>790</v>
      </c>
      <c r="N1133" s="3" t="s">
        <v>791</v>
      </c>
      <c r="O1133" s="1">
        <v>1</v>
      </c>
      <c r="P1133" s="4">
        <v>54551.25</v>
      </c>
      <c r="Q1133" s="4">
        <v>9488</v>
      </c>
      <c r="R1133" s="4">
        <v>138</v>
      </c>
      <c r="S1133" s="4">
        <v>64177.25</v>
      </c>
      <c r="T1133" s="5">
        <v>880</v>
      </c>
      <c r="U1133" s="5">
        <v>880</v>
      </c>
      <c r="V1133" s="5">
        <v>953</v>
      </c>
      <c r="W1133" s="5">
        <v>953</v>
      </c>
      <c r="X1133" s="4">
        <v>64177.25</v>
      </c>
      <c r="Y1133">
        <v>2280</v>
      </c>
      <c r="Z1133">
        <v>5100</v>
      </c>
      <c r="AA1133">
        <v>1320</v>
      </c>
      <c r="AB1133" s="1">
        <v>15.35</v>
      </c>
    </row>
    <row r="1134" spans="2:28">
      <c r="B1134" s="6" t="str">
        <f t="shared" si="17"/>
        <v>43115-DT1EJ20250101-B-TIIU6455655-BODY</v>
      </c>
      <c r="C1134" t="s">
        <v>785</v>
      </c>
      <c r="D1134" t="s">
        <v>786</v>
      </c>
      <c r="E1134" t="s">
        <v>728</v>
      </c>
      <c r="F1134" t="s">
        <v>729</v>
      </c>
      <c r="G1134" s="1" t="s">
        <v>787</v>
      </c>
      <c r="I1134" s="1" t="s">
        <v>85</v>
      </c>
      <c r="J1134" s="1" t="s">
        <v>860</v>
      </c>
      <c r="K1134" s="1" t="s">
        <v>789</v>
      </c>
      <c r="L1134">
        <v>8707109000</v>
      </c>
      <c r="M1134" s="2" t="s">
        <v>790</v>
      </c>
      <c r="N1134" s="3" t="s">
        <v>791</v>
      </c>
      <c r="O1134" s="1">
        <v>1</v>
      </c>
      <c r="P1134" s="4">
        <v>54551.25</v>
      </c>
      <c r="Q1134" s="4">
        <v>9488</v>
      </c>
      <c r="R1134" s="4">
        <v>138</v>
      </c>
      <c r="S1134" s="4">
        <v>64177.25</v>
      </c>
      <c r="T1134" s="5">
        <v>880</v>
      </c>
      <c r="U1134" s="5">
        <v>880</v>
      </c>
      <c r="V1134" s="5">
        <v>953</v>
      </c>
      <c r="W1134" s="5">
        <v>953</v>
      </c>
      <c r="X1134" s="4">
        <v>64177.25</v>
      </c>
      <c r="Y1134">
        <v>2280</v>
      </c>
      <c r="Z1134">
        <v>5100</v>
      </c>
      <c r="AA1134">
        <v>1320</v>
      </c>
      <c r="AB1134" s="1">
        <v>15.35</v>
      </c>
    </row>
    <row r="1135" spans="2:28">
      <c r="B1135" s="6" t="str">
        <f t="shared" si="17"/>
        <v>43115-DT1EJ20250101-B-TIIU6455655-BODY</v>
      </c>
      <c r="C1135" t="s">
        <v>785</v>
      </c>
      <c r="D1135" t="s">
        <v>786</v>
      </c>
      <c r="E1135" t="s">
        <v>728</v>
      </c>
      <c r="F1135" t="s">
        <v>729</v>
      </c>
      <c r="G1135" s="1" t="s">
        <v>787</v>
      </c>
      <c r="I1135" s="1" t="s">
        <v>85</v>
      </c>
      <c r="J1135" s="1" t="s">
        <v>861</v>
      </c>
      <c r="K1135" s="1" t="s">
        <v>789</v>
      </c>
      <c r="L1135">
        <v>8707109000</v>
      </c>
      <c r="M1135" s="2" t="s">
        <v>790</v>
      </c>
      <c r="N1135" s="3" t="s">
        <v>791</v>
      </c>
      <c r="O1135" s="1">
        <v>1</v>
      </c>
      <c r="P1135" s="4">
        <v>54551.25</v>
      </c>
      <c r="Q1135" s="4">
        <v>9488</v>
      </c>
      <c r="R1135" s="4">
        <v>138</v>
      </c>
      <c r="S1135" s="4">
        <v>64177.25</v>
      </c>
      <c r="T1135" s="5">
        <v>880</v>
      </c>
      <c r="U1135" s="5">
        <v>880</v>
      </c>
      <c r="V1135" s="5">
        <v>953</v>
      </c>
      <c r="W1135" s="5">
        <v>953</v>
      </c>
      <c r="X1135" s="4">
        <v>64177.25</v>
      </c>
      <c r="Y1135">
        <v>2280</v>
      </c>
      <c r="Z1135">
        <v>5100</v>
      </c>
      <c r="AA1135">
        <v>1320</v>
      </c>
      <c r="AB1135" s="1">
        <v>15.35</v>
      </c>
    </row>
    <row r="1136" spans="2:28">
      <c r="B1136" s="6" t="str">
        <f t="shared" si="17"/>
        <v>43115-DT1EJ20250101-B-TIIU6455871-BODY</v>
      </c>
      <c r="C1136" t="s">
        <v>785</v>
      </c>
      <c r="D1136" t="s">
        <v>786</v>
      </c>
      <c r="E1136" t="s">
        <v>732</v>
      </c>
      <c r="F1136" t="s">
        <v>733</v>
      </c>
      <c r="G1136" s="1" t="s">
        <v>787</v>
      </c>
      <c r="I1136" s="1" t="s">
        <v>85</v>
      </c>
      <c r="J1136" s="1" t="s">
        <v>862</v>
      </c>
      <c r="K1136" s="1" t="s">
        <v>789</v>
      </c>
      <c r="L1136">
        <v>8707109000</v>
      </c>
      <c r="M1136" s="2" t="s">
        <v>790</v>
      </c>
      <c r="N1136" s="3" t="s">
        <v>791</v>
      </c>
      <c r="O1136" s="1">
        <v>1</v>
      </c>
      <c r="P1136" s="4">
        <v>54551.25</v>
      </c>
      <c r="Q1136" s="4">
        <v>9488</v>
      </c>
      <c r="R1136" s="4">
        <v>138</v>
      </c>
      <c r="S1136" s="4">
        <v>64177.25</v>
      </c>
      <c r="T1136" s="5">
        <v>880</v>
      </c>
      <c r="U1136" s="5">
        <v>880</v>
      </c>
      <c r="V1136" s="5">
        <v>953</v>
      </c>
      <c r="W1136" s="5">
        <v>953</v>
      </c>
      <c r="X1136" s="4">
        <v>64177.25</v>
      </c>
      <c r="Y1136">
        <v>2280</v>
      </c>
      <c r="Z1136">
        <v>5100</v>
      </c>
      <c r="AA1136">
        <v>1320</v>
      </c>
      <c r="AB1136" s="1">
        <v>15.35</v>
      </c>
    </row>
    <row r="1137" spans="2:28">
      <c r="B1137" s="6" t="str">
        <f t="shared" si="17"/>
        <v>43115-DT1EJ20250101-B-TIIU6455871-BODY</v>
      </c>
      <c r="C1137" t="s">
        <v>785</v>
      </c>
      <c r="D1137" t="s">
        <v>786</v>
      </c>
      <c r="E1137" t="s">
        <v>732</v>
      </c>
      <c r="F1137" t="s">
        <v>733</v>
      </c>
      <c r="G1137" s="1" t="s">
        <v>787</v>
      </c>
      <c r="I1137" s="1" t="s">
        <v>85</v>
      </c>
      <c r="J1137" s="1" t="s">
        <v>863</v>
      </c>
      <c r="K1137" s="1" t="s">
        <v>789</v>
      </c>
      <c r="L1137">
        <v>8707109000</v>
      </c>
      <c r="M1137" s="2" t="s">
        <v>790</v>
      </c>
      <c r="N1137" s="3" t="s">
        <v>791</v>
      </c>
      <c r="O1137" s="1">
        <v>1</v>
      </c>
      <c r="P1137" s="4">
        <v>54551.25</v>
      </c>
      <c r="Q1137" s="4">
        <v>9488</v>
      </c>
      <c r="R1137" s="4">
        <v>138</v>
      </c>
      <c r="S1137" s="4">
        <v>64177.25</v>
      </c>
      <c r="T1137" s="5">
        <v>880</v>
      </c>
      <c r="U1137" s="5">
        <v>880</v>
      </c>
      <c r="V1137" s="5">
        <v>953</v>
      </c>
      <c r="W1137" s="5">
        <v>953</v>
      </c>
      <c r="X1137" s="4">
        <v>64177.25</v>
      </c>
      <c r="Y1137">
        <v>2280</v>
      </c>
      <c r="Z1137">
        <v>5100</v>
      </c>
      <c r="AA1137">
        <v>1320</v>
      </c>
      <c r="AB1137" s="1">
        <v>15.35</v>
      </c>
    </row>
    <row r="1138" spans="2:28">
      <c r="B1138" s="6" t="str">
        <f t="shared" si="17"/>
        <v>43115-DT1EJ20250101-B-TIIU6455871-BODY</v>
      </c>
      <c r="C1138" t="s">
        <v>785</v>
      </c>
      <c r="D1138" t="s">
        <v>786</v>
      </c>
      <c r="E1138" t="s">
        <v>732</v>
      </c>
      <c r="F1138" t="s">
        <v>733</v>
      </c>
      <c r="G1138" s="1" t="s">
        <v>787</v>
      </c>
      <c r="I1138" s="1" t="s">
        <v>85</v>
      </c>
      <c r="J1138" s="1" t="s">
        <v>864</v>
      </c>
      <c r="K1138" s="1" t="s">
        <v>789</v>
      </c>
      <c r="L1138">
        <v>8707109000</v>
      </c>
      <c r="M1138" s="2" t="s">
        <v>790</v>
      </c>
      <c r="N1138" s="3" t="s">
        <v>791</v>
      </c>
      <c r="O1138" s="1">
        <v>1</v>
      </c>
      <c r="P1138" s="4">
        <v>54551.25</v>
      </c>
      <c r="Q1138" s="4">
        <v>9488</v>
      </c>
      <c r="R1138" s="4">
        <v>138</v>
      </c>
      <c r="S1138" s="4">
        <v>64177.25</v>
      </c>
      <c r="T1138" s="5">
        <v>880</v>
      </c>
      <c r="U1138" s="5">
        <v>880</v>
      </c>
      <c r="V1138" s="5">
        <v>953</v>
      </c>
      <c r="W1138" s="5">
        <v>953</v>
      </c>
      <c r="X1138" s="4">
        <v>64177.25</v>
      </c>
      <c r="Y1138">
        <v>2280</v>
      </c>
      <c r="Z1138">
        <v>5100</v>
      </c>
      <c r="AA1138">
        <v>1320</v>
      </c>
      <c r="AB1138" s="1">
        <v>15.35</v>
      </c>
    </row>
    <row r="1139" spans="2:28">
      <c r="B1139" s="6" t="str">
        <f t="shared" si="17"/>
        <v>43115-DT1EJ20250101-B-TIIU6455871-BODY</v>
      </c>
      <c r="C1139" t="s">
        <v>785</v>
      </c>
      <c r="D1139" t="s">
        <v>786</v>
      </c>
      <c r="E1139" t="s">
        <v>732</v>
      </c>
      <c r="F1139" t="s">
        <v>733</v>
      </c>
      <c r="G1139" s="1" t="s">
        <v>787</v>
      </c>
      <c r="I1139" s="1" t="s">
        <v>85</v>
      </c>
      <c r="J1139" s="1" t="s">
        <v>865</v>
      </c>
      <c r="K1139" s="1" t="s">
        <v>789</v>
      </c>
      <c r="L1139">
        <v>8707109000</v>
      </c>
      <c r="M1139" s="2" t="s">
        <v>790</v>
      </c>
      <c r="N1139" s="3" t="s">
        <v>791</v>
      </c>
      <c r="O1139" s="1">
        <v>1</v>
      </c>
      <c r="P1139" s="4">
        <v>54551.25</v>
      </c>
      <c r="Q1139" s="4">
        <v>9488</v>
      </c>
      <c r="R1139" s="4">
        <v>138</v>
      </c>
      <c r="S1139" s="4">
        <v>64177.25</v>
      </c>
      <c r="T1139" s="5">
        <v>880</v>
      </c>
      <c r="U1139" s="5">
        <v>880</v>
      </c>
      <c r="V1139" s="5">
        <v>953</v>
      </c>
      <c r="W1139" s="5">
        <v>953</v>
      </c>
      <c r="X1139" s="4">
        <v>64177.25</v>
      </c>
      <c r="Y1139">
        <v>2280</v>
      </c>
      <c r="Z1139">
        <v>5100</v>
      </c>
      <c r="AA1139">
        <v>1320</v>
      </c>
      <c r="AB1139" s="1">
        <v>15.35</v>
      </c>
    </row>
    <row r="1140" spans="2:28">
      <c r="B1140" s="6" t="str">
        <f t="shared" si="17"/>
        <v>43115-DT1EJ20250101-B-TIIU6456203-BODY</v>
      </c>
      <c r="C1140" t="s">
        <v>785</v>
      </c>
      <c r="D1140" t="s">
        <v>786</v>
      </c>
      <c r="E1140" t="s">
        <v>736</v>
      </c>
      <c r="F1140" t="s">
        <v>737</v>
      </c>
      <c r="G1140" s="1" t="s">
        <v>787</v>
      </c>
      <c r="I1140" s="1" t="s">
        <v>85</v>
      </c>
      <c r="J1140" s="1" t="s">
        <v>866</v>
      </c>
      <c r="K1140" s="1" t="s">
        <v>789</v>
      </c>
      <c r="L1140">
        <v>8707109000</v>
      </c>
      <c r="M1140" s="2" t="s">
        <v>790</v>
      </c>
      <c r="N1140" s="3" t="s">
        <v>791</v>
      </c>
      <c r="O1140" s="1">
        <v>1</v>
      </c>
      <c r="P1140" s="4">
        <v>54551.25</v>
      </c>
      <c r="Q1140" s="4">
        <v>9488</v>
      </c>
      <c r="R1140" s="4">
        <v>138</v>
      </c>
      <c r="S1140" s="4">
        <v>64177.25</v>
      </c>
      <c r="T1140" s="5">
        <v>880</v>
      </c>
      <c r="U1140" s="5">
        <v>880</v>
      </c>
      <c r="V1140" s="5">
        <v>953</v>
      </c>
      <c r="W1140" s="5">
        <v>953</v>
      </c>
      <c r="X1140" s="4">
        <v>64177.25</v>
      </c>
      <c r="Y1140">
        <v>2280</v>
      </c>
      <c r="Z1140">
        <v>5100</v>
      </c>
      <c r="AA1140">
        <v>1320</v>
      </c>
      <c r="AB1140" s="1">
        <v>15.35</v>
      </c>
    </row>
    <row r="1141" spans="2:28">
      <c r="B1141" s="6" t="str">
        <f t="shared" si="17"/>
        <v>43115-DT1EJ20250101-B-TIIU6456203-BODY</v>
      </c>
      <c r="C1141" t="s">
        <v>785</v>
      </c>
      <c r="D1141" t="s">
        <v>786</v>
      </c>
      <c r="E1141" t="s">
        <v>736</v>
      </c>
      <c r="F1141" t="s">
        <v>737</v>
      </c>
      <c r="G1141" s="1" t="s">
        <v>787</v>
      </c>
      <c r="I1141" s="1" t="s">
        <v>85</v>
      </c>
      <c r="J1141" s="1" t="s">
        <v>867</v>
      </c>
      <c r="K1141" s="1" t="s">
        <v>789</v>
      </c>
      <c r="L1141">
        <v>8707109000</v>
      </c>
      <c r="M1141" s="2" t="s">
        <v>790</v>
      </c>
      <c r="N1141" s="3" t="s">
        <v>791</v>
      </c>
      <c r="O1141" s="1">
        <v>1</v>
      </c>
      <c r="P1141" s="4">
        <v>54551.25</v>
      </c>
      <c r="Q1141" s="4">
        <v>9488</v>
      </c>
      <c r="R1141" s="4">
        <v>138</v>
      </c>
      <c r="S1141" s="4">
        <v>64177.25</v>
      </c>
      <c r="T1141" s="5">
        <v>880</v>
      </c>
      <c r="U1141" s="5">
        <v>880</v>
      </c>
      <c r="V1141" s="5">
        <v>953</v>
      </c>
      <c r="W1141" s="5">
        <v>953</v>
      </c>
      <c r="X1141" s="4">
        <v>64177.25</v>
      </c>
      <c r="Y1141">
        <v>2280</v>
      </c>
      <c r="Z1141">
        <v>5100</v>
      </c>
      <c r="AA1141">
        <v>1320</v>
      </c>
      <c r="AB1141" s="1">
        <v>15.35</v>
      </c>
    </row>
    <row r="1142" spans="2:28">
      <c r="B1142" s="6" t="str">
        <f t="shared" si="17"/>
        <v>43115-DT1EJ20250101-B-TIIU6456203-BODY</v>
      </c>
      <c r="C1142" t="s">
        <v>785</v>
      </c>
      <c r="D1142" t="s">
        <v>786</v>
      </c>
      <c r="E1142" t="s">
        <v>736</v>
      </c>
      <c r="F1142" t="s">
        <v>737</v>
      </c>
      <c r="G1142" s="1" t="s">
        <v>787</v>
      </c>
      <c r="I1142" s="1" t="s">
        <v>85</v>
      </c>
      <c r="J1142" s="1" t="s">
        <v>868</v>
      </c>
      <c r="K1142" s="1" t="s">
        <v>789</v>
      </c>
      <c r="L1142">
        <v>8707109000</v>
      </c>
      <c r="M1142" s="2" t="s">
        <v>790</v>
      </c>
      <c r="N1142" s="3" t="s">
        <v>791</v>
      </c>
      <c r="O1142" s="1">
        <v>1</v>
      </c>
      <c r="P1142" s="4">
        <v>54551.25</v>
      </c>
      <c r="Q1142" s="4">
        <v>9488</v>
      </c>
      <c r="R1142" s="4">
        <v>138</v>
      </c>
      <c r="S1142" s="4">
        <v>64177.25</v>
      </c>
      <c r="T1142" s="5">
        <v>880</v>
      </c>
      <c r="U1142" s="5">
        <v>880</v>
      </c>
      <c r="V1142" s="5">
        <v>953</v>
      </c>
      <c r="W1142" s="5">
        <v>953</v>
      </c>
      <c r="X1142" s="4">
        <v>64177.25</v>
      </c>
      <c r="Y1142">
        <v>2280</v>
      </c>
      <c r="Z1142">
        <v>5100</v>
      </c>
      <c r="AA1142">
        <v>1320</v>
      </c>
      <c r="AB1142" s="1">
        <v>15.35</v>
      </c>
    </row>
    <row r="1143" spans="2:28">
      <c r="B1143" s="6" t="str">
        <f t="shared" si="17"/>
        <v>43115-DT1EJ20250101-B-TIIU6456203-BODY</v>
      </c>
      <c r="C1143" t="s">
        <v>785</v>
      </c>
      <c r="D1143" t="s">
        <v>786</v>
      </c>
      <c r="E1143" t="s">
        <v>736</v>
      </c>
      <c r="F1143" t="s">
        <v>737</v>
      </c>
      <c r="G1143" s="1" t="s">
        <v>787</v>
      </c>
      <c r="I1143" s="1" t="s">
        <v>85</v>
      </c>
      <c r="J1143" s="1" t="s">
        <v>869</v>
      </c>
      <c r="K1143" s="1" t="s">
        <v>789</v>
      </c>
      <c r="L1143">
        <v>8707109000</v>
      </c>
      <c r="M1143" s="2" t="s">
        <v>790</v>
      </c>
      <c r="N1143" s="3" t="s">
        <v>791</v>
      </c>
      <c r="O1143" s="1">
        <v>1</v>
      </c>
      <c r="P1143" s="4">
        <v>54551.25</v>
      </c>
      <c r="Q1143" s="4">
        <v>9488</v>
      </c>
      <c r="R1143" s="4">
        <v>138</v>
      </c>
      <c r="S1143" s="4">
        <v>64177.25</v>
      </c>
      <c r="T1143" s="5">
        <v>880</v>
      </c>
      <c r="U1143" s="5">
        <v>880</v>
      </c>
      <c r="V1143" s="5">
        <v>953</v>
      </c>
      <c r="W1143" s="5">
        <v>953</v>
      </c>
      <c r="X1143" s="4">
        <v>64177.25</v>
      </c>
      <c r="Y1143">
        <v>2280</v>
      </c>
      <c r="Z1143">
        <v>5100</v>
      </c>
      <c r="AA1143">
        <v>1320</v>
      </c>
      <c r="AB1143" s="1">
        <v>15.35</v>
      </c>
    </row>
    <row r="1144" customHeight="1" spans="2:28">
      <c r="B1144" s="6" t="str">
        <f t="shared" si="17"/>
        <v>43115-DT1EJ20250101-B-TIIU6456266-BODY</v>
      </c>
      <c r="C1144" s="29" t="s">
        <v>785</v>
      </c>
      <c r="D1144" s="30" t="s">
        <v>786</v>
      </c>
      <c r="E1144" s="30" t="s">
        <v>740</v>
      </c>
      <c r="F1144" s="30" t="s">
        <v>741</v>
      </c>
      <c r="G1144" s="31" t="s">
        <v>787</v>
      </c>
      <c r="H1144" s="31"/>
      <c r="I1144" s="31" t="s">
        <v>85</v>
      </c>
      <c r="J1144" s="31" t="s">
        <v>870</v>
      </c>
      <c r="K1144" s="31" t="s">
        <v>789</v>
      </c>
      <c r="L1144" s="31">
        <v>8707109000</v>
      </c>
      <c r="M1144" s="32" t="s">
        <v>790</v>
      </c>
      <c r="N1144" s="33" t="s">
        <v>791</v>
      </c>
      <c r="O1144" s="31">
        <v>1</v>
      </c>
      <c r="P1144" s="34">
        <v>54551.25</v>
      </c>
      <c r="Q1144" s="34">
        <v>9488</v>
      </c>
      <c r="R1144" s="34">
        <v>138</v>
      </c>
      <c r="S1144" s="34">
        <v>64177.25</v>
      </c>
      <c r="T1144" s="35">
        <v>880</v>
      </c>
      <c r="U1144" s="35">
        <v>880</v>
      </c>
      <c r="V1144" s="35">
        <v>953</v>
      </c>
      <c r="W1144" s="35">
        <v>953</v>
      </c>
      <c r="X1144" s="34">
        <v>64177.25</v>
      </c>
      <c r="Y1144" s="31">
        <v>2280</v>
      </c>
      <c r="Z1144" s="31">
        <v>5100</v>
      </c>
      <c r="AA1144" s="31">
        <v>1320</v>
      </c>
      <c r="AB1144" s="31">
        <v>15.35</v>
      </c>
    </row>
    <row r="1145" spans="2:28">
      <c r="B1145" s="6" t="str">
        <f t="shared" si="17"/>
        <v>43115-DT1EJ20250101-B-TIIU6456266-BODY</v>
      </c>
      <c r="C1145" t="s">
        <v>785</v>
      </c>
      <c r="D1145" t="s">
        <v>786</v>
      </c>
      <c r="E1145" t="s">
        <v>740</v>
      </c>
      <c r="F1145" t="s">
        <v>741</v>
      </c>
      <c r="G1145" s="1" t="s">
        <v>787</v>
      </c>
      <c r="I1145" s="1" t="s">
        <v>85</v>
      </c>
      <c r="J1145" s="1" t="s">
        <v>871</v>
      </c>
      <c r="K1145" s="1" t="s">
        <v>789</v>
      </c>
      <c r="L1145">
        <v>8707109000</v>
      </c>
      <c r="M1145" s="2" t="s">
        <v>790</v>
      </c>
      <c r="N1145" s="3" t="s">
        <v>791</v>
      </c>
      <c r="O1145" s="1">
        <v>1</v>
      </c>
      <c r="P1145" s="4">
        <v>54551.25</v>
      </c>
      <c r="Q1145" s="4">
        <v>9488</v>
      </c>
      <c r="R1145" s="4">
        <v>138</v>
      </c>
      <c r="S1145" s="4">
        <v>64177.25</v>
      </c>
      <c r="T1145" s="5">
        <v>880</v>
      </c>
      <c r="U1145" s="5">
        <v>880</v>
      </c>
      <c r="V1145" s="5">
        <v>953</v>
      </c>
      <c r="W1145" s="5">
        <v>953</v>
      </c>
      <c r="X1145" s="4">
        <v>64177.25</v>
      </c>
      <c r="Y1145">
        <v>2280</v>
      </c>
      <c r="Z1145">
        <v>5100</v>
      </c>
      <c r="AA1145">
        <v>1320</v>
      </c>
      <c r="AB1145" s="1">
        <v>15.35</v>
      </c>
    </row>
    <row r="1146" spans="2:28">
      <c r="B1146" s="6" t="str">
        <f t="shared" si="17"/>
        <v>43115-DT1EJ20250101-B-TIIU6456266-BODY</v>
      </c>
      <c r="C1146" t="s">
        <v>785</v>
      </c>
      <c r="D1146" t="s">
        <v>786</v>
      </c>
      <c r="E1146" t="s">
        <v>740</v>
      </c>
      <c r="F1146" t="s">
        <v>741</v>
      </c>
      <c r="G1146" s="1" t="s">
        <v>787</v>
      </c>
      <c r="I1146" s="1" t="s">
        <v>85</v>
      </c>
      <c r="J1146" s="1" t="s">
        <v>872</v>
      </c>
      <c r="K1146" s="1" t="s">
        <v>789</v>
      </c>
      <c r="L1146">
        <v>8707109000</v>
      </c>
      <c r="M1146" s="2" t="s">
        <v>790</v>
      </c>
      <c r="N1146" s="3" t="s">
        <v>791</v>
      </c>
      <c r="O1146" s="1">
        <v>1</v>
      </c>
      <c r="P1146" s="4">
        <v>54551.25</v>
      </c>
      <c r="Q1146" s="4">
        <v>9488</v>
      </c>
      <c r="R1146" s="4">
        <v>138</v>
      </c>
      <c r="S1146" s="4">
        <v>64177.25</v>
      </c>
      <c r="T1146" s="5">
        <v>880</v>
      </c>
      <c r="U1146" s="5">
        <v>880</v>
      </c>
      <c r="V1146" s="5">
        <v>953</v>
      </c>
      <c r="W1146" s="5">
        <v>953</v>
      </c>
      <c r="X1146" s="4">
        <v>64177.25</v>
      </c>
      <c r="Y1146">
        <v>2280</v>
      </c>
      <c r="Z1146">
        <v>5100</v>
      </c>
      <c r="AA1146">
        <v>1320</v>
      </c>
      <c r="AB1146" s="1">
        <v>15.35</v>
      </c>
    </row>
    <row r="1147" customHeight="1" spans="2:28">
      <c r="B1147" s="6" t="str">
        <f t="shared" si="17"/>
        <v>43115-DT1EJ20250101-B-TIIU6456266-BODY</v>
      </c>
      <c r="C1147" s="29" t="s">
        <v>785</v>
      </c>
      <c r="D1147" s="30" t="s">
        <v>786</v>
      </c>
      <c r="E1147" s="30" t="s">
        <v>740</v>
      </c>
      <c r="F1147" s="30" t="s">
        <v>741</v>
      </c>
      <c r="G1147" s="31" t="s">
        <v>787</v>
      </c>
      <c r="H1147" s="31"/>
      <c r="I1147" s="31" t="s">
        <v>85</v>
      </c>
      <c r="J1147" s="31" t="s">
        <v>873</v>
      </c>
      <c r="K1147" s="31" t="s">
        <v>789</v>
      </c>
      <c r="L1147" s="31">
        <v>8707109000</v>
      </c>
      <c r="M1147" s="32" t="s">
        <v>790</v>
      </c>
      <c r="N1147" s="33" t="s">
        <v>791</v>
      </c>
      <c r="O1147" s="31">
        <v>1</v>
      </c>
      <c r="P1147" s="34">
        <v>54551.25</v>
      </c>
      <c r="Q1147" s="34">
        <v>9488</v>
      </c>
      <c r="R1147" s="34">
        <v>138</v>
      </c>
      <c r="S1147" s="34">
        <v>64177.25</v>
      </c>
      <c r="T1147" s="35">
        <v>880</v>
      </c>
      <c r="U1147" s="35">
        <v>880</v>
      </c>
      <c r="V1147" s="35">
        <v>953</v>
      </c>
      <c r="W1147" s="35">
        <v>953</v>
      </c>
      <c r="X1147" s="34">
        <v>64177.25</v>
      </c>
      <c r="Y1147" s="31">
        <v>2280</v>
      </c>
      <c r="Z1147" s="31">
        <v>5100</v>
      </c>
      <c r="AA1147" s="31">
        <v>1320</v>
      </c>
      <c r="AB1147" s="31">
        <v>15.35</v>
      </c>
    </row>
    <row r="1148" spans="2:28">
      <c r="B1148" s="6" t="str">
        <f t="shared" si="17"/>
        <v>43115-DT1EJ20250101-B-TIIU6456271-BODY</v>
      </c>
      <c r="C1148" t="s">
        <v>785</v>
      </c>
      <c r="D1148" t="s">
        <v>786</v>
      </c>
      <c r="E1148" t="s">
        <v>744</v>
      </c>
      <c r="F1148" t="s">
        <v>745</v>
      </c>
      <c r="G1148" s="1" t="s">
        <v>787</v>
      </c>
      <c r="I1148" s="1" t="s">
        <v>85</v>
      </c>
      <c r="J1148" s="1" t="s">
        <v>874</v>
      </c>
      <c r="K1148" s="1" t="s">
        <v>789</v>
      </c>
      <c r="L1148">
        <v>8707109000</v>
      </c>
      <c r="M1148" s="2" t="s">
        <v>790</v>
      </c>
      <c r="N1148" s="3" t="s">
        <v>791</v>
      </c>
      <c r="O1148" s="1">
        <v>1</v>
      </c>
      <c r="P1148" s="4">
        <v>54551.25</v>
      </c>
      <c r="Q1148" s="4">
        <v>9488</v>
      </c>
      <c r="R1148" s="4">
        <v>138</v>
      </c>
      <c r="S1148" s="4">
        <v>64177.25</v>
      </c>
      <c r="T1148" s="5">
        <v>880</v>
      </c>
      <c r="U1148" s="5">
        <v>880</v>
      </c>
      <c r="V1148" s="5">
        <v>953</v>
      </c>
      <c r="W1148" s="5">
        <v>953</v>
      </c>
      <c r="X1148" s="4">
        <v>64177.25</v>
      </c>
      <c r="Y1148">
        <v>2280</v>
      </c>
      <c r="Z1148">
        <v>5100</v>
      </c>
      <c r="AA1148">
        <v>1320</v>
      </c>
      <c r="AB1148" s="1">
        <v>15.35</v>
      </c>
    </row>
    <row r="1149" spans="2:28">
      <c r="B1149" s="6" t="str">
        <f t="shared" si="17"/>
        <v>43115-DT1EJ20250101-B-TIIU6456271-BODY</v>
      </c>
      <c r="C1149" t="s">
        <v>785</v>
      </c>
      <c r="D1149" t="s">
        <v>786</v>
      </c>
      <c r="E1149" t="s">
        <v>744</v>
      </c>
      <c r="F1149" t="s">
        <v>745</v>
      </c>
      <c r="G1149" s="1" t="s">
        <v>787</v>
      </c>
      <c r="I1149" s="1" t="s">
        <v>85</v>
      </c>
      <c r="J1149" s="1" t="s">
        <v>875</v>
      </c>
      <c r="K1149" s="1" t="s">
        <v>789</v>
      </c>
      <c r="L1149">
        <v>8707109000</v>
      </c>
      <c r="M1149" s="2" t="s">
        <v>790</v>
      </c>
      <c r="N1149" s="3" t="s">
        <v>791</v>
      </c>
      <c r="O1149" s="1">
        <v>1</v>
      </c>
      <c r="P1149" s="4">
        <v>54551.25</v>
      </c>
      <c r="Q1149" s="4">
        <v>9488</v>
      </c>
      <c r="R1149" s="4">
        <v>138</v>
      </c>
      <c r="S1149" s="4">
        <v>64177.25</v>
      </c>
      <c r="T1149" s="5">
        <v>880</v>
      </c>
      <c r="U1149" s="5">
        <v>880</v>
      </c>
      <c r="V1149" s="5">
        <v>953</v>
      </c>
      <c r="W1149" s="5">
        <v>953</v>
      </c>
      <c r="X1149" s="4">
        <v>64177.25</v>
      </c>
      <c r="Y1149">
        <v>2280</v>
      </c>
      <c r="Z1149">
        <v>5100</v>
      </c>
      <c r="AA1149">
        <v>1320</v>
      </c>
      <c r="AB1149" s="1">
        <v>15.35</v>
      </c>
    </row>
    <row r="1150" spans="2:28">
      <c r="B1150" s="6" t="str">
        <f t="shared" si="17"/>
        <v>43115-DT1EJ20250101-B-TIIU6456271-BODY</v>
      </c>
      <c r="C1150" t="s">
        <v>785</v>
      </c>
      <c r="D1150" t="s">
        <v>786</v>
      </c>
      <c r="E1150" t="s">
        <v>744</v>
      </c>
      <c r="F1150" t="s">
        <v>745</v>
      </c>
      <c r="G1150" s="1" t="s">
        <v>787</v>
      </c>
      <c r="I1150" s="1" t="s">
        <v>85</v>
      </c>
      <c r="J1150" s="1" t="s">
        <v>876</v>
      </c>
      <c r="K1150" s="1" t="s">
        <v>789</v>
      </c>
      <c r="L1150">
        <v>8707109000</v>
      </c>
      <c r="M1150" s="2" t="s">
        <v>790</v>
      </c>
      <c r="N1150" s="3" t="s">
        <v>791</v>
      </c>
      <c r="O1150" s="1">
        <v>1</v>
      </c>
      <c r="P1150" s="4">
        <v>54551.25</v>
      </c>
      <c r="Q1150" s="4">
        <v>9488</v>
      </c>
      <c r="R1150" s="4">
        <v>138</v>
      </c>
      <c r="S1150" s="4">
        <v>64177.25</v>
      </c>
      <c r="T1150" s="5">
        <v>880</v>
      </c>
      <c r="U1150" s="5">
        <v>880</v>
      </c>
      <c r="V1150" s="5">
        <v>953</v>
      </c>
      <c r="W1150" s="5">
        <v>953</v>
      </c>
      <c r="X1150" s="4">
        <v>64177.25</v>
      </c>
      <c r="Y1150">
        <v>2280</v>
      </c>
      <c r="Z1150">
        <v>5100</v>
      </c>
      <c r="AA1150">
        <v>1320</v>
      </c>
      <c r="AB1150" s="1">
        <v>15.35</v>
      </c>
    </row>
    <row r="1151" spans="2:28">
      <c r="B1151" s="6" t="str">
        <f t="shared" si="17"/>
        <v>43115-DT1EJ20250101-B-TIIU6456271-BODY</v>
      </c>
      <c r="C1151" t="s">
        <v>785</v>
      </c>
      <c r="D1151" t="s">
        <v>786</v>
      </c>
      <c r="E1151" t="s">
        <v>744</v>
      </c>
      <c r="F1151" t="s">
        <v>745</v>
      </c>
      <c r="G1151" s="1" t="s">
        <v>787</v>
      </c>
      <c r="I1151" s="1" t="s">
        <v>85</v>
      </c>
      <c r="J1151" s="1" t="s">
        <v>877</v>
      </c>
      <c r="K1151" s="1" t="s">
        <v>789</v>
      </c>
      <c r="L1151">
        <v>8707109000</v>
      </c>
      <c r="M1151" s="2" t="s">
        <v>790</v>
      </c>
      <c r="N1151" s="3" t="s">
        <v>791</v>
      </c>
      <c r="O1151" s="1">
        <v>1</v>
      </c>
      <c r="P1151" s="4">
        <v>54551.25</v>
      </c>
      <c r="Q1151" s="4">
        <v>9488</v>
      </c>
      <c r="R1151" s="4">
        <v>138</v>
      </c>
      <c r="S1151" s="4">
        <v>64177.25</v>
      </c>
      <c r="T1151" s="5">
        <v>880</v>
      </c>
      <c r="U1151" s="5">
        <v>880</v>
      </c>
      <c r="V1151" s="5">
        <v>953</v>
      </c>
      <c r="W1151" s="5">
        <v>953</v>
      </c>
      <c r="X1151" s="4">
        <v>64177.25</v>
      </c>
      <c r="Y1151">
        <v>2280</v>
      </c>
      <c r="Z1151">
        <v>5100</v>
      </c>
      <c r="AA1151">
        <v>1320</v>
      </c>
      <c r="AB1151" s="1">
        <v>15.35</v>
      </c>
    </row>
    <row r="1152" customHeight="1" spans="2:28">
      <c r="B1152" s="6" t="str">
        <f t="shared" si="17"/>
        <v>43115-DT1EJ20250101-B-TIIU6456306-BODY</v>
      </c>
      <c r="C1152" s="29" t="s">
        <v>785</v>
      </c>
      <c r="D1152" s="30" t="s">
        <v>786</v>
      </c>
      <c r="E1152" s="30" t="s">
        <v>748</v>
      </c>
      <c r="F1152" s="30" t="s">
        <v>749</v>
      </c>
      <c r="G1152" s="31" t="s">
        <v>787</v>
      </c>
      <c r="H1152" s="31"/>
      <c r="I1152" s="31" t="s">
        <v>85</v>
      </c>
      <c r="J1152" s="31" t="s">
        <v>878</v>
      </c>
      <c r="K1152" s="31" t="s">
        <v>789</v>
      </c>
      <c r="L1152" s="31">
        <v>8707109000</v>
      </c>
      <c r="M1152" s="32" t="s">
        <v>790</v>
      </c>
      <c r="N1152" s="33" t="s">
        <v>791</v>
      </c>
      <c r="O1152" s="31">
        <v>1</v>
      </c>
      <c r="P1152" s="34">
        <v>54551.25</v>
      </c>
      <c r="Q1152" s="34">
        <v>9488</v>
      </c>
      <c r="R1152" s="34">
        <v>138</v>
      </c>
      <c r="S1152" s="34">
        <v>64177.25</v>
      </c>
      <c r="T1152" s="35">
        <v>880</v>
      </c>
      <c r="U1152" s="35">
        <v>880</v>
      </c>
      <c r="V1152" s="35">
        <v>953</v>
      </c>
      <c r="W1152" s="35">
        <v>953</v>
      </c>
      <c r="X1152" s="34">
        <v>64177.25</v>
      </c>
      <c r="Y1152" s="31">
        <v>2280</v>
      </c>
      <c r="Z1152" s="31">
        <v>5100</v>
      </c>
      <c r="AA1152" s="31">
        <v>1320</v>
      </c>
      <c r="AB1152" s="31">
        <v>15.35</v>
      </c>
    </row>
    <row r="1153" customHeight="1" spans="2:28">
      <c r="B1153" s="6" t="str">
        <f t="shared" si="17"/>
        <v>43115-DT1EJ20250101-B-TIIU6456306-BODY</v>
      </c>
      <c r="C1153" s="29" t="s">
        <v>785</v>
      </c>
      <c r="D1153" s="30" t="s">
        <v>786</v>
      </c>
      <c r="E1153" s="30" t="s">
        <v>748</v>
      </c>
      <c r="F1153" s="30" t="s">
        <v>749</v>
      </c>
      <c r="G1153" s="31" t="s">
        <v>787</v>
      </c>
      <c r="H1153" s="31"/>
      <c r="I1153" s="31" t="s">
        <v>85</v>
      </c>
      <c r="J1153" s="31" t="s">
        <v>879</v>
      </c>
      <c r="K1153" s="31" t="s">
        <v>789</v>
      </c>
      <c r="L1153" s="31">
        <v>8707109000</v>
      </c>
      <c r="M1153" s="32" t="s">
        <v>790</v>
      </c>
      <c r="N1153" s="33" t="s">
        <v>791</v>
      </c>
      <c r="O1153" s="31">
        <v>1</v>
      </c>
      <c r="P1153" s="34">
        <v>54551.25</v>
      </c>
      <c r="Q1153" s="34">
        <v>9488</v>
      </c>
      <c r="R1153" s="34">
        <v>138</v>
      </c>
      <c r="S1153" s="34">
        <v>64177.25</v>
      </c>
      <c r="T1153" s="35">
        <v>880</v>
      </c>
      <c r="U1153" s="35">
        <v>880</v>
      </c>
      <c r="V1153" s="35">
        <v>953</v>
      </c>
      <c r="W1153" s="35">
        <v>953</v>
      </c>
      <c r="X1153" s="34">
        <v>64177.25</v>
      </c>
      <c r="Y1153" s="31">
        <v>2280</v>
      </c>
      <c r="Z1153" s="31">
        <v>5100</v>
      </c>
      <c r="AA1153" s="31">
        <v>1320</v>
      </c>
      <c r="AB1153" s="31">
        <v>15.35</v>
      </c>
    </row>
    <row r="1154" spans="2:28">
      <c r="B1154" s="6" t="str">
        <f t="shared" ref="B1154:B1217" si="18">CONCATENATE(C1154,"-",E1154,"-",G1154)</f>
        <v>43115-DT1EJ20250101-B-TIIU6456306-BODY</v>
      </c>
      <c r="C1154" t="s">
        <v>785</v>
      </c>
      <c r="D1154" t="s">
        <v>786</v>
      </c>
      <c r="E1154" t="s">
        <v>748</v>
      </c>
      <c r="F1154" t="s">
        <v>749</v>
      </c>
      <c r="G1154" s="1" t="s">
        <v>787</v>
      </c>
      <c r="I1154" s="1" t="s">
        <v>85</v>
      </c>
      <c r="J1154" s="1" t="s">
        <v>880</v>
      </c>
      <c r="K1154" s="1" t="s">
        <v>789</v>
      </c>
      <c r="L1154">
        <v>8707109000</v>
      </c>
      <c r="M1154" s="2" t="s">
        <v>790</v>
      </c>
      <c r="N1154" s="3" t="s">
        <v>791</v>
      </c>
      <c r="O1154" s="1">
        <v>1</v>
      </c>
      <c r="P1154" s="4">
        <v>54551.25</v>
      </c>
      <c r="Q1154" s="4">
        <v>9488</v>
      </c>
      <c r="R1154" s="4">
        <v>138</v>
      </c>
      <c r="S1154" s="4">
        <v>64177.25</v>
      </c>
      <c r="T1154" s="5">
        <v>880</v>
      </c>
      <c r="U1154" s="5">
        <v>880</v>
      </c>
      <c r="V1154" s="5">
        <v>953</v>
      </c>
      <c r="W1154" s="5">
        <v>953</v>
      </c>
      <c r="X1154" s="4">
        <v>64177.25</v>
      </c>
      <c r="Y1154">
        <v>2280</v>
      </c>
      <c r="Z1154">
        <v>5100</v>
      </c>
      <c r="AA1154">
        <v>1320</v>
      </c>
      <c r="AB1154" s="1">
        <v>15.35</v>
      </c>
    </row>
    <row r="1155" spans="2:28">
      <c r="B1155" s="6" t="str">
        <f t="shared" si="18"/>
        <v>43115-DT1EJ20250101-B-TIIU6456306-BODY</v>
      </c>
      <c r="C1155" t="s">
        <v>785</v>
      </c>
      <c r="D1155" t="s">
        <v>786</v>
      </c>
      <c r="E1155" t="s">
        <v>748</v>
      </c>
      <c r="F1155" t="s">
        <v>749</v>
      </c>
      <c r="G1155" s="1" t="s">
        <v>787</v>
      </c>
      <c r="I1155" s="1" t="s">
        <v>85</v>
      </c>
      <c r="J1155" s="1" t="s">
        <v>881</v>
      </c>
      <c r="K1155" s="1" t="s">
        <v>789</v>
      </c>
      <c r="L1155">
        <v>8707109000</v>
      </c>
      <c r="M1155" s="2" t="s">
        <v>790</v>
      </c>
      <c r="N1155" s="3" t="s">
        <v>791</v>
      </c>
      <c r="O1155" s="1">
        <v>1</v>
      </c>
      <c r="P1155" s="4">
        <v>54551.25</v>
      </c>
      <c r="Q1155" s="4">
        <v>9488</v>
      </c>
      <c r="R1155" s="4">
        <v>138</v>
      </c>
      <c r="S1155" s="4">
        <v>64177.25</v>
      </c>
      <c r="T1155" s="5">
        <v>880</v>
      </c>
      <c r="U1155" s="5">
        <v>880</v>
      </c>
      <c r="V1155" s="5">
        <v>953</v>
      </c>
      <c r="W1155" s="5">
        <v>953</v>
      </c>
      <c r="X1155" s="4">
        <v>64177.25</v>
      </c>
      <c r="Y1155">
        <v>2280</v>
      </c>
      <c r="Z1155">
        <v>5100</v>
      </c>
      <c r="AA1155">
        <v>1320</v>
      </c>
      <c r="AB1155" s="1">
        <v>15.35</v>
      </c>
    </row>
    <row r="1156" spans="2:28">
      <c r="B1156" s="6" t="str">
        <f t="shared" si="18"/>
        <v>43115-DT1EJ20250101-B-TIIU6456374-BODY</v>
      </c>
      <c r="C1156" t="s">
        <v>785</v>
      </c>
      <c r="D1156" t="s">
        <v>786</v>
      </c>
      <c r="E1156" t="s">
        <v>752</v>
      </c>
      <c r="F1156" t="s">
        <v>753</v>
      </c>
      <c r="G1156" s="1" t="s">
        <v>787</v>
      </c>
      <c r="I1156" s="1" t="s">
        <v>85</v>
      </c>
      <c r="J1156" s="1" t="s">
        <v>882</v>
      </c>
      <c r="K1156" s="1" t="s">
        <v>789</v>
      </c>
      <c r="L1156">
        <v>8707109000</v>
      </c>
      <c r="M1156" s="2" t="s">
        <v>790</v>
      </c>
      <c r="N1156" s="3" t="s">
        <v>791</v>
      </c>
      <c r="O1156" s="1">
        <v>1</v>
      </c>
      <c r="P1156" s="4">
        <v>54551.25</v>
      </c>
      <c r="Q1156" s="4">
        <v>9488</v>
      </c>
      <c r="R1156" s="4">
        <v>138</v>
      </c>
      <c r="S1156" s="4">
        <v>64177.25</v>
      </c>
      <c r="T1156" s="5">
        <v>880</v>
      </c>
      <c r="U1156" s="5">
        <v>880</v>
      </c>
      <c r="V1156" s="5">
        <v>953</v>
      </c>
      <c r="W1156" s="5">
        <v>953</v>
      </c>
      <c r="X1156" s="4">
        <v>64177.25</v>
      </c>
      <c r="Y1156">
        <v>2280</v>
      </c>
      <c r="Z1156">
        <v>5100</v>
      </c>
      <c r="AA1156">
        <v>1320</v>
      </c>
      <c r="AB1156" s="1">
        <v>15.35</v>
      </c>
    </row>
    <row r="1157" spans="2:28">
      <c r="B1157" s="6" t="str">
        <f t="shared" si="18"/>
        <v>43115-DT1EJ20250101-B-TIIU6456374-BODY</v>
      </c>
      <c r="C1157" t="s">
        <v>785</v>
      </c>
      <c r="D1157" t="s">
        <v>786</v>
      </c>
      <c r="E1157" t="s">
        <v>752</v>
      </c>
      <c r="F1157" t="s">
        <v>753</v>
      </c>
      <c r="G1157" s="1" t="s">
        <v>787</v>
      </c>
      <c r="I1157" s="1" t="s">
        <v>85</v>
      </c>
      <c r="J1157" s="1" t="s">
        <v>883</v>
      </c>
      <c r="K1157" s="1" t="s">
        <v>789</v>
      </c>
      <c r="L1157">
        <v>8707109000</v>
      </c>
      <c r="M1157" s="2" t="s">
        <v>790</v>
      </c>
      <c r="N1157" s="3" t="s">
        <v>791</v>
      </c>
      <c r="O1157" s="1">
        <v>1</v>
      </c>
      <c r="P1157" s="4">
        <v>54551.25</v>
      </c>
      <c r="Q1157" s="4">
        <v>9488</v>
      </c>
      <c r="R1157" s="4">
        <v>138</v>
      </c>
      <c r="S1157" s="4">
        <v>64177.25</v>
      </c>
      <c r="T1157" s="5">
        <v>880</v>
      </c>
      <c r="U1157" s="5">
        <v>880</v>
      </c>
      <c r="V1157" s="5">
        <v>953</v>
      </c>
      <c r="W1157" s="5">
        <v>953</v>
      </c>
      <c r="X1157" s="4">
        <v>64177.25</v>
      </c>
      <c r="Y1157">
        <v>2280</v>
      </c>
      <c r="Z1157">
        <v>5100</v>
      </c>
      <c r="AA1157">
        <v>1320</v>
      </c>
      <c r="AB1157" s="1">
        <v>15.35</v>
      </c>
    </row>
    <row r="1158" spans="2:28">
      <c r="B1158" s="6" t="str">
        <f t="shared" si="18"/>
        <v>43115-DT1EJ20250101-B-TIIU6456374-BODY</v>
      </c>
      <c r="C1158" t="s">
        <v>785</v>
      </c>
      <c r="D1158" t="s">
        <v>786</v>
      </c>
      <c r="E1158" t="s">
        <v>752</v>
      </c>
      <c r="F1158" t="s">
        <v>753</v>
      </c>
      <c r="G1158" s="1" t="s">
        <v>787</v>
      </c>
      <c r="I1158" s="1" t="s">
        <v>85</v>
      </c>
      <c r="J1158" s="1" t="s">
        <v>884</v>
      </c>
      <c r="K1158" s="1" t="s">
        <v>789</v>
      </c>
      <c r="L1158">
        <v>8707109000</v>
      </c>
      <c r="M1158" s="2" t="s">
        <v>790</v>
      </c>
      <c r="N1158" s="3" t="s">
        <v>791</v>
      </c>
      <c r="O1158" s="1">
        <v>1</v>
      </c>
      <c r="P1158" s="4">
        <v>54551.25</v>
      </c>
      <c r="Q1158" s="4">
        <v>9488</v>
      </c>
      <c r="R1158" s="4">
        <v>138</v>
      </c>
      <c r="S1158" s="4">
        <v>64177.25</v>
      </c>
      <c r="T1158" s="5">
        <v>880</v>
      </c>
      <c r="U1158" s="5">
        <v>880</v>
      </c>
      <c r="V1158" s="5">
        <v>953</v>
      </c>
      <c r="W1158" s="5">
        <v>953</v>
      </c>
      <c r="X1158" s="4">
        <v>64177.25</v>
      </c>
      <c r="Y1158">
        <v>2280</v>
      </c>
      <c r="Z1158">
        <v>5100</v>
      </c>
      <c r="AA1158">
        <v>1320</v>
      </c>
      <c r="AB1158" s="1">
        <v>15.35</v>
      </c>
    </row>
    <row r="1159" spans="2:28">
      <c r="B1159" s="6" t="str">
        <f t="shared" si="18"/>
        <v>43115-DT1EJ20250101-B-TIIU6456374-BODY</v>
      </c>
      <c r="C1159" t="s">
        <v>785</v>
      </c>
      <c r="D1159" t="s">
        <v>786</v>
      </c>
      <c r="E1159" t="s">
        <v>752</v>
      </c>
      <c r="F1159" t="s">
        <v>753</v>
      </c>
      <c r="G1159" s="1" t="s">
        <v>787</v>
      </c>
      <c r="I1159" s="1" t="s">
        <v>85</v>
      </c>
      <c r="J1159" s="1" t="s">
        <v>885</v>
      </c>
      <c r="K1159" s="1" t="s">
        <v>789</v>
      </c>
      <c r="L1159">
        <v>8707109000</v>
      </c>
      <c r="M1159" s="2" t="s">
        <v>790</v>
      </c>
      <c r="N1159" s="3" t="s">
        <v>791</v>
      </c>
      <c r="O1159" s="1">
        <v>1</v>
      </c>
      <c r="P1159" s="4">
        <v>54551.25</v>
      </c>
      <c r="Q1159" s="4">
        <v>9488</v>
      </c>
      <c r="R1159" s="4">
        <v>138</v>
      </c>
      <c r="S1159" s="4">
        <v>64177.25</v>
      </c>
      <c r="T1159" s="5">
        <v>880</v>
      </c>
      <c r="U1159" s="5">
        <v>880</v>
      </c>
      <c r="V1159" s="5">
        <v>953</v>
      </c>
      <c r="W1159" s="5">
        <v>953</v>
      </c>
      <c r="X1159" s="4">
        <v>64177.25</v>
      </c>
      <c r="Y1159">
        <v>2280</v>
      </c>
      <c r="Z1159">
        <v>5100</v>
      </c>
      <c r="AA1159">
        <v>1320</v>
      </c>
      <c r="AB1159" s="1">
        <v>15.35</v>
      </c>
    </row>
    <row r="1160" spans="2:28">
      <c r="B1160" s="6" t="str">
        <f t="shared" si="18"/>
        <v>43115-DT1EJ20250101-B-TIIU6456991-BODY</v>
      </c>
      <c r="C1160" t="s">
        <v>785</v>
      </c>
      <c r="D1160" t="s">
        <v>786</v>
      </c>
      <c r="E1160" t="s">
        <v>756</v>
      </c>
      <c r="F1160" t="s">
        <v>757</v>
      </c>
      <c r="G1160" s="1" t="s">
        <v>787</v>
      </c>
      <c r="I1160" s="1" t="s">
        <v>85</v>
      </c>
      <c r="J1160" s="1" t="s">
        <v>886</v>
      </c>
      <c r="K1160" s="1" t="s">
        <v>789</v>
      </c>
      <c r="L1160">
        <v>8707109000</v>
      </c>
      <c r="M1160" s="2" t="s">
        <v>790</v>
      </c>
      <c r="N1160" s="3" t="s">
        <v>791</v>
      </c>
      <c r="O1160" s="1">
        <v>1</v>
      </c>
      <c r="P1160" s="4">
        <v>54551.25</v>
      </c>
      <c r="Q1160" s="4">
        <v>9488</v>
      </c>
      <c r="R1160" s="4">
        <v>138</v>
      </c>
      <c r="S1160" s="4">
        <v>64177.25</v>
      </c>
      <c r="T1160" s="5">
        <v>880</v>
      </c>
      <c r="U1160" s="5">
        <v>880</v>
      </c>
      <c r="V1160" s="5">
        <v>953</v>
      </c>
      <c r="W1160" s="5">
        <v>953</v>
      </c>
      <c r="X1160" s="4">
        <v>64177.25</v>
      </c>
      <c r="Y1160">
        <v>2280</v>
      </c>
      <c r="Z1160">
        <v>5100</v>
      </c>
      <c r="AA1160">
        <v>1320</v>
      </c>
      <c r="AB1160" s="1">
        <v>15.35</v>
      </c>
    </row>
    <row r="1161" spans="2:28">
      <c r="B1161" s="6" t="str">
        <f t="shared" si="18"/>
        <v>43115-DT1EJ20250101-B-TIIU6456991-BODY</v>
      </c>
      <c r="C1161" t="s">
        <v>785</v>
      </c>
      <c r="D1161" t="s">
        <v>786</v>
      </c>
      <c r="E1161" t="s">
        <v>756</v>
      </c>
      <c r="F1161" t="s">
        <v>757</v>
      </c>
      <c r="G1161" s="1" t="s">
        <v>787</v>
      </c>
      <c r="I1161" s="1" t="s">
        <v>85</v>
      </c>
      <c r="J1161" s="1" t="s">
        <v>887</v>
      </c>
      <c r="K1161" s="1" t="s">
        <v>789</v>
      </c>
      <c r="L1161">
        <v>8707109000</v>
      </c>
      <c r="M1161" s="2" t="s">
        <v>790</v>
      </c>
      <c r="N1161" s="3" t="s">
        <v>791</v>
      </c>
      <c r="O1161" s="1">
        <v>1</v>
      </c>
      <c r="P1161" s="4">
        <v>54551.25</v>
      </c>
      <c r="Q1161" s="4">
        <v>9488</v>
      </c>
      <c r="R1161" s="4">
        <v>138</v>
      </c>
      <c r="S1161" s="4">
        <v>64177.25</v>
      </c>
      <c r="T1161" s="5">
        <v>880</v>
      </c>
      <c r="U1161" s="5">
        <v>880</v>
      </c>
      <c r="V1161" s="5">
        <v>953</v>
      </c>
      <c r="W1161" s="5">
        <v>953</v>
      </c>
      <c r="X1161" s="4">
        <v>64177.25</v>
      </c>
      <c r="Y1161">
        <v>2280</v>
      </c>
      <c r="Z1161">
        <v>5100</v>
      </c>
      <c r="AA1161">
        <v>1320</v>
      </c>
      <c r="AB1161" s="1">
        <v>15.35</v>
      </c>
    </row>
    <row r="1162" spans="2:28">
      <c r="B1162" s="6" t="str">
        <f t="shared" si="18"/>
        <v>43115-DT1EJ20250101-B-TIIU6456991-BODY</v>
      </c>
      <c r="C1162" t="s">
        <v>785</v>
      </c>
      <c r="D1162" t="s">
        <v>786</v>
      </c>
      <c r="E1162" t="s">
        <v>756</v>
      </c>
      <c r="F1162" t="s">
        <v>757</v>
      </c>
      <c r="G1162" s="1" t="s">
        <v>787</v>
      </c>
      <c r="I1162" s="1" t="s">
        <v>85</v>
      </c>
      <c r="J1162" s="1" t="s">
        <v>888</v>
      </c>
      <c r="K1162" s="1" t="s">
        <v>789</v>
      </c>
      <c r="L1162">
        <v>8707109000</v>
      </c>
      <c r="M1162" s="2" t="s">
        <v>790</v>
      </c>
      <c r="N1162" s="3" t="s">
        <v>791</v>
      </c>
      <c r="O1162" s="1">
        <v>1</v>
      </c>
      <c r="P1162" s="4">
        <v>54551.25</v>
      </c>
      <c r="Q1162" s="4">
        <v>9488</v>
      </c>
      <c r="R1162" s="4">
        <v>138</v>
      </c>
      <c r="S1162" s="4">
        <v>64177.25</v>
      </c>
      <c r="T1162" s="5">
        <v>880</v>
      </c>
      <c r="U1162" s="5">
        <v>880</v>
      </c>
      <c r="V1162" s="5">
        <v>953</v>
      </c>
      <c r="W1162" s="5">
        <v>953</v>
      </c>
      <c r="X1162" s="4">
        <v>64177.25</v>
      </c>
      <c r="Y1162">
        <v>2280</v>
      </c>
      <c r="Z1162">
        <v>5100</v>
      </c>
      <c r="AA1162">
        <v>1320</v>
      </c>
      <c r="AB1162" s="1">
        <v>15.35</v>
      </c>
    </row>
    <row r="1163" spans="2:28">
      <c r="B1163" s="6" t="str">
        <f t="shared" si="18"/>
        <v>43115-DT1EJ20250101-B-TIIU6456991-BODY</v>
      </c>
      <c r="C1163" t="s">
        <v>785</v>
      </c>
      <c r="D1163" t="s">
        <v>786</v>
      </c>
      <c r="E1163" t="s">
        <v>756</v>
      </c>
      <c r="F1163" t="s">
        <v>757</v>
      </c>
      <c r="G1163" s="1" t="s">
        <v>787</v>
      </c>
      <c r="I1163" s="1" t="s">
        <v>85</v>
      </c>
      <c r="J1163" s="1" t="s">
        <v>889</v>
      </c>
      <c r="K1163" s="1" t="s">
        <v>789</v>
      </c>
      <c r="L1163">
        <v>8707109000</v>
      </c>
      <c r="M1163" s="2" t="s">
        <v>790</v>
      </c>
      <c r="N1163" s="3" t="s">
        <v>791</v>
      </c>
      <c r="O1163" s="1">
        <v>1</v>
      </c>
      <c r="P1163" s="4">
        <v>54551.25</v>
      </c>
      <c r="Q1163" s="4">
        <v>9488</v>
      </c>
      <c r="R1163" s="4">
        <v>138</v>
      </c>
      <c r="S1163" s="4">
        <v>64177.25</v>
      </c>
      <c r="T1163" s="5">
        <v>880</v>
      </c>
      <c r="U1163" s="5">
        <v>880</v>
      </c>
      <c r="V1163" s="5">
        <v>953</v>
      </c>
      <c r="W1163" s="5">
        <v>953</v>
      </c>
      <c r="X1163" s="4">
        <v>64177.25</v>
      </c>
      <c r="Y1163">
        <v>2280</v>
      </c>
      <c r="Z1163">
        <v>5100</v>
      </c>
      <c r="AA1163">
        <v>1320</v>
      </c>
      <c r="AB1163" s="1">
        <v>15.35</v>
      </c>
    </row>
    <row r="1164" spans="2:28">
      <c r="B1164" s="6" t="str">
        <f t="shared" si="18"/>
        <v>43115-DT1EJ20250101-B-TIIU6457853-BODY</v>
      </c>
      <c r="C1164" t="s">
        <v>785</v>
      </c>
      <c r="D1164" t="s">
        <v>786</v>
      </c>
      <c r="E1164" t="s">
        <v>760</v>
      </c>
      <c r="F1164" t="s">
        <v>761</v>
      </c>
      <c r="G1164" s="1" t="s">
        <v>787</v>
      </c>
      <c r="I1164" s="1" t="s">
        <v>85</v>
      </c>
      <c r="J1164" s="1" t="s">
        <v>890</v>
      </c>
      <c r="K1164" s="1" t="s">
        <v>789</v>
      </c>
      <c r="L1164">
        <v>8707109000</v>
      </c>
      <c r="M1164" s="2" t="s">
        <v>790</v>
      </c>
      <c r="N1164" s="3" t="s">
        <v>791</v>
      </c>
      <c r="O1164" s="1">
        <v>1</v>
      </c>
      <c r="P1164" s="4">
        <v>54551.25</v>
      </c>
      <c r="Q1164" s="4">
        <v>9488</v>
      </c>
      <c r="R1164" s="4">
        <v>138</v>
      </c>
      <c r="S1164" s="4">
        <v>64177.25</v>
      </c>
      <c r="T1164" s="5">
        <v>880</v>
      </c>
      <c r="U1164" s="5">
        <v>880</v>
      </c>
      <c r="V1164" s="5">
        <v>953</v>
      </c>
      <c r="W1164" s="5">
        <v>953</v>
      </c>
      <c r="X1164" s="4">
        <v>64177.25</v>
      </c>
      <c r="Y1164">
        <v>2280</v>
      </c>
      <c r="Z1164">
        <v>5100</v>
      </c>
      <c r="AA1164">
        <v>1320</v>
      </c>
      <c r="AB1164" s="1">
        <v>15.35</v>
      </c>
    </row>
    <row r="1165" spans="2:28">
      <c r="B1165" s="6" t="str">
        <f t="shared" si="18"/>
        <v>43115-DT1EJ20250101-B-TIIU6457853-BODY</v>
      </c>
      <c r="C1165" t="s">
        <v>785</v>
      </c>
      <c r="D1165" t="s">
        <v>786</v>
      </c>
      <c r="E1165" t="s">
        <v>760</v>
      </c>
      <c r="F1165" t="s">
        <v>761</v>
      </c>
      <c r="G1165" s="1" t="s">
        <v>787</v>
      </c>
      <c r="I1165" s="1" t="s">
        <v>85</v>
      </c>
      <c r="J1165" s="1" t="s">
        <v>891</v>
      </c>
      <c r="K1165" s="1" t="s">
        <v>789</v>
      </c>
      <c r="L1165">
        <v>8707109000</v>
      </c>
      <c r="M1165" s="2" t="s">
        <v>790</v>
      </c>
      <c r="N1165" s="3" t="s">
        <v>791</v>
      </c>
      <c r="O1165" s="1">
        <v>1</v>
      </c>
      <c r="P1165" s="4">
        <v>54551.25</v>
      </c>
      <c r="Q1165" s="4">
        <v>9488</v>
      </c>
      <c r="R1165" s="4">
        <v>138</v>
      </c>
      <c r="S1165" s="4">
        <v>64177.25</v>
      </c>
      <c r="T1165" s="5">
        <v>880</v>
      </c>
      <c r="U1165" s="5">
        <v>880</v>
      </c>
      <c r="V1165" s="5">
        <v>953</v>
      </c>
      <c r="W1165" s="5">
        <v>953</v>
      </c>
      <c r="X1165" s="4">
        <v>64177.25</v>
      </c>
      <c r="Y1165">
        <v>2280</v>
      </c>
      <c r="Z1165">
        <v>5100</v>
      </c>
      <c r="AA1165">
        <v>1320</v>
      </c>
      <c r="AB1165" s="1">
        <v>15.35</v>
      </c>
    </row>
    <row r="1166" spans="2:28">
      <c r="B1166" s="6" t="str">
        <f t="shared" si="18"/>
        <v>43115-DT1EJ20250101-B-TIIU6457853-BODY</v>
      </c>
      <c r="C1166" t="s">
        <v>785</v>
      </c>
      <c r="D1166" t="s">
        <v>786</v>
      </c>
      <c r="E1166" t="s">
        <v>760</v>
      </c>
      <c r="F1166" t="s">
        <v>761</v>
      </c>
      <c r="G1166" s="1" t="s">
        <v>787</v>
      </c>
      <c r="I1166" s="1" t="s">
        <v>85</v>
      </c>
      <c r="J1166" s="1" t="s">
        <v>892</v>
      </c>
      <c r="K1166" s="1" t="s">
        <v>789</v>
      </c>
      <c r="L1166">
        <v>8707109000</v>
      </c>
      <c r="M1166" s="2" t="s">
        <v>790</v>
      </c>
      <c r="N1166" s="3" t="s">
        <v>791</v>
      </c>
      <c r="O1166" s="1">
        <v>1</v>
      </c>
      <c r="P1166" s="4">
        <v>54551.25</v>
      </c>
      <c r="Q1166" s="4">
        <v>9488</v>
      </c>
      <c r="R1166" s="4">
        <v>138</v>
      </c>
      <c r="S1166" s="4">
        <v>64177.25</v>
      </c>
      <c r="T1166" s="5">
        <v>880</v>
      </c>
      <c r="U1166" s="5">
        <v>880</v>
      </c>
      <c r="V1166" s="5">
        <v>953</v>
      </c>
      <c r="W1166" s="5">
        <v>953</v>
      </c>
      <c r="X1166" s="4">
        <v>64177.25</v>
      </c>
      <c r="Y1166">
        <v>2280</v>
      </c>
      <c r="Z1166">
        <v>5100</v>
      </c>
      <c r="AA1166">
        <v>1320</v>
      </c>
      <c r="AB1166" s="1">
        <v>15.35</v>
      </c>
    </row>
    <row r="1167" spans="2:28">
      <c r="B1167" s="6" t="str">
        <f t="shared" si="18"/>
        <v>43115-DT1EJ20250101-B-TIIU6457853-BODY</v>
      </c>
      <c r="C1167" t="s">
        <v>785</v>
      </c>
      <c r="D1167" t="s">
        <v>786</v>
      </c>
      <c r="E1167" t="s">
        <v>760</v>
      </c>
      <c r="F1167" t="s">
        <v>761</v>
      </c>
      <c r="G1167" s="1" t="s">
        <v>787</v>
      </c>
      <c r="I1167" s="1" t="s">
        <v>85</v>
      </c>
      <c r="J1167" s="1" t="s">
        <v>893</v>
      </c>
      <c r="K1167" s="1" t="s">
        <v>789</v>
      </c>
      <c r="L1167">
        <v>8707109000</v>
      </c>
      <c r="M1167" s="2" t="s">
        <v>790</v>
      </c>
      <c r="N1167" s="3" t="s">
        <v>791</v>
      </c>
      <c r="O1167" s="1">
        <v>1</v>
      </c>
      <c r="P1167" s="4">
        <v>54551.25</v>
      </c>
      <c r="Q1167" s="4">
        <v>9488</v>
      </c>
      <c r="R1167" s="4">
        <v>138</v>
      </c>
      <c r="S1167" s="4">
        <v>64177.25</v>
      </c>
      <c r="T1167" s="5">
        <v>880</v>
      </c>
      <c r="U1167" s="5">
        <v>880</v>
      </c>
      <c r="V1167" s="5">
        <v>953</v>
      </c>
      <c r="W1167" s="5">
        <v>953</v>
      </c>
      <c r="X1167" s="4">
        <v>64177.25</v>
      </c>
      <c r="Y1167">
        <v>2280</v>
      </c>
      <c r="Z1167">
        <v>5100</v>
      </c>
      <c r="AA1167">
        <v>1320</v>
      </c>
      <c r="AB1167" s="1">
        <v>15.35</v>
      </c>
    </row>
    <row r="1168" spans="2:28">
      <c r="B1168" s="6" t="str">
        <f t="shared" si="18"/>
        <v>43115-DT1EJ20250101-B-TIIU6457982-BODY</v>
      </c>
      <c r="C1168" t="s">
        <v>785</v>
      </c>
      <c r="D1168" t="s">
        <v>786</v>
      </c>
      <c r="E1168" t="s">
        <v>764</v>
      </c>
      <c r="F1168" t="s">
        <v>765</v>
      </c>
      <c r="G1168" s="1" t="s">
        <v>787</v>
      </c>
      <c r="I1168" s="1" t="s">
        <v>85</v>
      </c>
      <c r="J1168" s="1" t="s">
        <v>894</v>
      </c>
      <c r="K1168" s="1" t="s">
        <v>789</v>
      </c>
      <c r="L1168">
        <v>8707109000</v>
      </c>
      <c r="M1168" s="2" t="s">
        <v>790</v>
      </c>
      <c r="N1168" s="3" t="s">
        <v>791</v>
      </c>
      <c r="O1168" s="1">
        <v>1</v>
      </c>
      <c r="P1168" s="4">
        <v>54551.25</v>
      </c>
      <c r="Q1168" s="4">
        <v>9488</v>
      </c>
      <c r="R1168" s="4">
        <v>138</v>
      </c>
      <c r="S1168" s="4">
        <v>64177.25</v>
      </c>
      <c r="T1168" s="5">
        <v>880</v>
      </c>
      <c r="U1168" s="5">
        <v>880</v>
      </c>
      <c r="V1168" s="5">
        <v>953</v>
      </c>
      <c r="W1168" s="5">
        <v>953</v>
      </c>
      <c r="X1168" s="4">
        <v>64177.25</v>
      </c>
      <c r="Y1168">
        <v>2280</v>
      </c>
      <c r="Z1168">
        <v>5100</v>
      </c>
      <c r="AA1168">
        <v>1320</v>
      </c>
      <c r="AB1168" s="1">
        <v>15.35</v>
      </c>
    </row>
    <row r="1169" spans="1:28">
      <c r="B1169" s="6" t="str">
        <f t="shared" si="18"/>
        <v>43115-DT1EJ20250101-B-TIIU6457982-BODY</v>
      </c>
      <c r="C1169" t="s">
        <v>785</v>
      </c>
      <c r="D1169" t="s">
        <v>786</v>
      </c>
      <c r="E1169" t="s">
        <v>764</v>
      </c>
      <c r="F1169" t="s">
        <v>765</v>
      </c>
      <c r="G1169" s="1" t="s">
        <v>787</v>
      </c>
      <c r="I1169" s="1" t="s">
        <v>85</v>
      </c>
      <c r="J1169" s="1" t="s">
        <v>895</v>
      </c>
      <c r="K1169" s="1" t="s">
        <v>789</v>
      </c>
      <c r="L1169">
        <v>8707109000</v>
      </c>
      <c r="M1169" s="2" t="s">
        <v>790</v>
      </c>
      <c r="N1169" s="3" t="s">
        <v>791</v>
      </c>
      <c r="O1169" s="1">
        <v>1</v>
      </c>
      <c r="P1169" s="4">
        <v>54551.25</v>
      </c>
      <c r="Q1169" s="4">
        <v>9488</v>
      </c>
      <c r="R1169" s="4">
        <v>138</v>
      </c>
      <c r="S1169" s="4">
        <v>64177.25</v>
      </c>
      <c r="T1169" s="5">
        <v>880</v>
      </c>
      <c r="U1169" s="5">
        <v>880</v>
      </c>
      <c r="V1169" s="5">
        <v>953</v>
      </c>
      <c r="W1169" s="5">
        <v>953</v>
      </c>
      <c r="X1169" s="4">
        <v>64177.25</v>
      </c>
      <c r="Y1169">
        <v>2280</v>
      </c>
      <c r="Z1169">
        <v>5100</v>
      </c>
      <c r="AA1169">
        <v>1320</v>
      </c>
      <c r="AB1169" s="1">
        <v>15.35</v>
      </c>
    </row>
    <row r="1170" spans="1:28">
      <c r="B1170" s="6" t="str">
        <f t="shared" si="18"/>
        <v>43115-DT1EJ20250101-B-TIIU6457982-BODY</v>
      </c>
      <c r="C1170" t="s">
        <v>785</v>
      </c>
      <c r="D1170" t="s">
        <v>786</v>
      </c>
      <c r="E1170" t="s">
        <v>764</v>
      </c>
      <c r="F1170" t="s">
        <v>765</v>
      </c>
      <c r="G1170" s="1" t="s">
        <v>787</v>
      </c>
      <c r="I1170" s="1" t="s">
        <v>85</v>
      </c>
      <c r="J1170" s="1" t="s">
        <v>896</v>
      </c>
      <c r="K1170" s="1" t="s">
        <v>789</v>
      </c>
      <c r="L1170">
        <v>8707109000</v>
      </c>
      <c r="M1170" s="2" t="s">
        <v>790</v>
      </c>
      <c r="N1170" s="3" t="s">
        <v>791</v>
      </c>
      <c r="O1170" s="1">
        <v>1</v>
      </c>
      <c r="P1170" s="4">
        <v>54551.25</v>
      </c>
      <c r="Q1170" s="4">
        <v>9488</v>
      </c>
      <c r="R1170" s="4">
        <v>138</v>
      </c>
      <c r="S1170" s="4">
        <v>64177.25</v>
      </c>
      <c r="T1170" s="5">
        <v>880</v>
      </c>
      <c r="U1170" s="5">
        <v>880</v>
      </c>
      <c r="V1170" s="5">
        <v>953</v>
      </c>
      <c r="W1170" s="5">
        <v>953</v>
      </c>
      <c r="X1170" s="4">
        <v>64177.25</v>
      </c>
      <c r="Y1170">
        <v>2280</v>
      </c>
      <c r="Z1170">
        <v>5100</v>
      </c>
      <c r="AA1170">
        <v>1320</v>
      </c>
      <c r="AB1170" s="1">
        <v>15.35</v>
      </c>
    </row>
    <row r="1171" spans="1:28">
      <c r="B1171" s="6" t="str">
        <f t="shared" si="18"/>
        <v>43115-DT1EJ20250101-B-TIIU6457982-BODY</v>
      </c>
      <c r="C1171" t="s">
        <v>785</v>
      </c>
      <c r="D1171" t="s">
        <v>786</v>
      </c>
      <c r="E1171" t="s">
        <v>764</v>
      </c>
      <c r="F1171" t="s">
        <v>765</v>
      </c>
      <c r="G1171" s="1" t="s">
        <v>787</v>
      </c>
      <c r="I1171" s="1" t="s">
        <v>85</v>
      </c>
      <c r="J1171" s="1" t="s">
        <v>897</v>
      </c>
      <c r="K1171" s="1" t="s">
        <v>789</v>
      </c>
      <c r="L1171">
        <v>8707109000</v>
      </c>
      <c r="M1171" s="2" t="s">
        <v>790</v>
      </c>
      <c r="N1171" s="3" t="s">
        <v>791</v>
      </c>
      <c r="O1171" s="1">
        <v>1</v>
      </c>
      <c r="P1171" s="4">
        <v>54551.25</v>
      </c>
      <c r="Q1171" s="4">
        <v>9488</v>
      </c>
      <c r="R1171" s="4">
        <v>138</v>
      </c>
      <c r="S1171" s="4">
        <v>64177.25</v>
      </c>
      <c r="T1171" s="5">
        <v>880</v>
      </c>
      <c r="U1171" s="5">
        <v>880</v>
      </c>
      <c r="V1171" s="5">
        <v>953</v>
      </c>
      <c r="W1171" s="5">
        <v>953</v>
      </c>
      <c r="X1171" s="4">
        <v>64177.25</v>
      </c>
      <c r="Y1171">
        <v>2280</v>
      </c>
      <c r="Z1171">
        <v>5100</v>
      </c>
      <c r="AA1171">
        <v>1320</v>
      </c>
      <c r="AB1171" s="1">
        <v>15.35</v>
      </c>
    </row>
    <row r="1172" customHeight="1" spans="1:28">
      <c r="B1172" s="6" t="str">
        <f t="shared" si="18"/>
        <v>43115-DT1EJ20250101-B-TIIU6458000-BODY</v>
      </c>
      <c r="C1172" s="29" t="s">
        <v>785</v>
      </c>
      <c r="D1172" s="30" t="s">
        <v>786</v>
      </c>
      <c r="E1172" s="30" t="s">
        <v>768</v>
      </c>
      <c r="F1172" s="30" t="s">
        <v>769</v>
      </c>
      <c r="G1172" s="31" t="s">
        <v>787</v>
      </c>
      <c r="H1172" s="31"/>
      <c r="I1172" s="31" t="s">
        <v>85</v>
      </c>
      <c r="J1172" s="31" t="s">
        <v>898</v>
      </c>
      <c r="K1172" s="31" t="s">
        <v>789</v>
      </c>
      <c r="L1172" s="31">
        <v>8707109000</v>
      </c>
      <c r="M1172" s="32" t="s">
        <v>790</v>
      </c>
      <c r="N1172" s="33" t="s">
        <v>791</v>
      </c>
      <c r="O1172" s="31">
        <v>1</v>
      </c>
      <c r="P1172" s="34">
        <v>54551.25</v>
      </c>
      <c r="Q1172" s="34">
        <v>9488</v>
      </c>
      <c r="R1172" s="34">
        <v>138</v>
      </c>
      <c r="S1172" s="34">
        <v>64177.25</v>
      </c>
      <c r="T1172" s="35">
        <v>880</v>
      </c>
      <c r="U1172" s="35">
        <v>880</v>
      </c>
      <c r="V1172" s="35">
        <v>953</v>
      </c>
      <c r="W1172" s="35">
        <v>953</v>
      </c>
      <c r="X1172" s="34">
        <v>64177.25</v>
      </c>
      <c r="Y1172" s="31">
        <v>2280</v>
      </c>
      <c r="Z1172" s="31">
        <v>5100</v>
      </c>
      <c r="AA1172" s="31">
        <v>1320</v>
      </c>
      <c r="AB1172" s="31">
        <v>15.35</v>
      </c>
    </row>
    <row r="1173" spans="1:28">
      <c r="B1173" s="6" t="str">
        <f t="shared" si="18"/>
        <v>43115-DT1EJ20250101-B-TIIU6458000-BODY</v>
      </c>
      <c r="C1173" t="s">
        <v>785</v>
      </c>
      <c r="D1173" t="s">
        <v>786</v>
      </c>
      <c r="E1173" t="s">
        <v>768</v>
      </c>
      <c r="F1173" t="s">
        <v>769</v>
      </c>
      <c r="G1173" s="1" t="s">
        <v>787</v>
      </c>
      <c r="I1173" s="1" t="s">
        <v>85</v>
      </c>
      <c r="J1173" s="1" t="s">
        <v>899</v>
      </c>
      <c r="K1173" s="1" t="s">
        <v>789</v>
      </c>
      <c r="L1173">
        <v>8707109000</v>
      </c>
      <c r="M1173" s="2" t="s">
        <v>790</v>
      </c>
      <c r="N1173" s="3" t="s">
        <v>791</v>
      </c>
      <c r="O1173" s="1">
        <v>1</v>
      </c>
      <c r="P1173" s="4">
        <v>54551.25</v>
      </c>
      <c r="Q1173" s="4">
        <v>9488</v>
      </c>
      <c r="R1173" s="4">
        <v>138</v>
      </c>
      <c r="S1173" s="4">
        <v>64177.25</v>
      </c>
      <c r="T1173" s="5">
        <v>880</v>
      </c>
      <c r="U1173" s="5">
        <v>880</v>
      </c>
      <c r="V1173" s="5">
        <v>953</v>
      </c>
      <c r="W1173" s="5">
        <v>953</v>
      </c>
      <c r="X1173" s="4">
        <v>64177.25</v>
      </c>
      <c r="Y1173">
        <v>2280</v>
      </c>
      <c r="Z1173">
        <v>5100</v>
      </c>
      <c r="AA1173">
        <v>1320</v>
      </c>
      <c r="AB1173" s="1">
        <v>15.35</v>
      </c>
    </row>
    <row r="1174" spans="1:28">
      <c r="B1174" s="6" t="str">
        <f t="shared" si="18"/>
        <v>43115-DT1EJ20250101-B-TIIU6458000-BODY</v>
      </c>
      <c r="C1174" t="s">
        <v>785</v>
      </c>
      <c r="D1174" t="s">
        <v>786</v>
      </c>
      <c r="E1174" t="s">
        <v>768</v>
      </c>
      <c r="F1174" t="s">
        <v>769</v>
      </c>
      <c r="G1174" s="1" t="s">
        <v>787</v>
      </c>
      <c r="I1174" s="1" t="s">
        <v>85</v>
      </c>
      <c r="J1174" s="1" t="s">
        <v>900</v>
      </c>
      <c r="K1174" s="1" t="s">
        <v>789</v>
      </c>
      <c r="L1174">
        <v>8707109000</v>
      </c>
      <c r="M1174" s="2" t="s">
        <v>790</v>
      </c>
      <c r="N1174" s="3" t="s">
        <v>791</v>
      </c>
      <c r="O1174" s="1">
        <v>1</v>
      </c>
      <c r="P1174" s="4">
        <v>54551.25</v>
      </c>
      <c r="Q1174" s="4">
        <v>9488</v>
      </c>
      <c r="R1174" s="4">
        <v>138</v>
      </c>
      <c r="S1174" s="4">
        <v>64177.25</v>
      </c>
      <c r="T1174" s="5">
        <v>880</v>
      </c>
      <c r="U1174" s="5">
        <v>880</v>
      </c>
      <c r="V1174" s="5">
        <v>953</v>
      </c>
      <c r="W1174" s="5">
        <v>953</v>
      </c>
      <c r="X1174" s="4">
        <v>64177.25</v>
      </c>
      <c r="Y1174">
        <v>2280</v>
      </c>
      <c r="Z1174">
        <v>5100</v>
      </c>
      <c r="AA1174">
        <v>1320</v>
      </c>
      <c r="AB1174" s="1">
        <v>15.35</v>
      </c>
    </row>
    <row r="1175" spans="1:28">
      <c r="B1175" s="6" t="str">
        <f t="shared" si="18"/>
        <v>43115-DT1EJ20250101-B-TIIU6458000-BODY</v>
      </c>
      <c r="C1175" t="s">
        <v>785</v>
      </c>
      <c r="D1175" t="s">
        <v>786</v>
      </c>
      <c r="E1175" t="s">
        <v>768</v>
      </c>
      <c r="F1175" t="s">
        <v>769</v>
      </c>
      <c r="G1175" s="1" t="s">
        <v>787</v>
      </c>
      <c r="I1175" s="1" t="s">
        <v>85</v>
      </c>
      <c r="J1175" s="1" t="s">
        <v>901</v>
      </c>
      <c r="K1175" s="1" t="s">
        <v>789</v>
      </c>
      <c r="L1175">
        <v>8707109000</v>
      </c>
      <c r="M1175" s="2" t="s">
        <v>790</v>
      </c>
      <c r="N1175" s="3" t="s">
        <v>791</v>
      </c>
      <c r="O1175" s="1">
        <v>1</v>
      </c>
      <c r="P1175" s="4">
        <v>54551.25</v>
      </c>
      <c r="Q1175" s="4">
        <v>9488</v>
      </c>
      <c r="R1175" s="4">
        <v>138</v>
      </c>
      <c r="S1175" s="4">
        <v>64177.25</v>
      </c>
      <c r="T1175" s="5">
        <v>880</v>
      </c>
      <c r="U1175" s="5">
        <v>880</v>
      </c>
      <c r="V1175" s="5">
        <v>953</v>
      </c>
      <c r="W1175" s="5">
        <v>953</v>
      </c>
      <c r="X1175" s="4">
        <v>64177.25</v>
      </c>
      <c r="Y1175">
        <v>2280</v>
      </c>
      <c r="Z1175">
        <v>5100</v>
      </c>
      <c r="AA1175">
        <v>1320</v>
      </c>
      <c r="AB1175" s="1">
        <v>15.35</v>
      </c>
    </row>
    <row r="1176" spans="1:28">
      <c r="B1176" s="6" t="str">
        <f t="shared" si="18"/>
        <v>43115-DT1EJ20250101-B-TIIU6459624-BODY</v>
      </c>
      <c r="C1176" t="s">
        <v>785</v>
      </c>
      <c r="D1176" t="s">
        <v>786</v>
      </c>
      <c r="E1176" t="s">
        <v>773</v>
      </c>
      <c r="F1176" t="s">
        <v>774</v>
      </c>
      <c r="G1176" s="1" t="s">
        <v>787</v>
      </c>
      <c r="I1176" s="1" t="s">
        <v>85</v>
      </c>
      <c r="J1176" s="1" t="s">
        <v>902</v>
      </c>
      <c r="K1176" s="1" t="s">
        <v>789</v>
      </c>
      <c r="L1176">
        <v>8707109000</v>
      </c>
      <c r="M1176" s="2" t="s">
        <v>790</v>
      </c>
      <c r="N1176" s="3" t="s">
        <v>791</v>
      </c>
      <c r="O1176" s="1">
        <v>1</v>
      </c>
      <c r="P1176" s="4">
        <v>54551.25</v>
      </c>
      <c r="Q1176" s="4">
        <v>9488</v>
      </c>
      <c r="R1176" s="4">
        <v>138</v>
      </c>
      <c r="S1176" s="4">
        <v>64177.25</v>
      </c>
      <c r="T1176" s="5">
        <v>880</v>
      </c>
      <c r="U1176" s="5">
        <v>880</v>
      </c>
      <c r="V1176" s="5">
        <v>953</v>
      </c>
      <c r="W1176" s="5">
        <v>953</v>
      </c>
      <c r="X1176" s="4">
        <v>64177.25</v>
      </c>
      <c r="Y1176">
        <v>2280</v>
      </c>
      <c r="Z1176">
        <v>5100</v>
      </c>
      <c r="AA1176">
        <v>1320</v>
      </c>
      <c r="AB1176" s="1">
        <v>15.35</v>
      </c>
    </row>
    <row r="1177" spans="1:28">
      <c r="B1177" s="6" t="str">
        <f t="shared" si="18"/>
        <v>43115-DT1EJ20250101-B-TIIU6459624-BODY</v>
      </c>
      <c r="C1177" t="s">
        <v>785</v>
      </c>
      <c r="D1177" t="s">
        <v>786</v>
      </c>
      <c r="E1177" t="s">
        <v>773</v>
      </c>
      <c r="F1177" t="s">
        <v>774</v>
      </c>
      <c r="G1177" s="1" t="s">
        <v>787</v>
      </c>
      <c r="I1177" s="1" t="s">
        <v>85</v>
      </c>
      <c r="J1177" s="1" t="s">
        <v>903</v>
      </c>
      <c r="K1177" s="1" t="s">
        <v>789</v>
      </c>
      <c r="L1177">
        <v>8707109000</v>
      </c>
      <c r="M1177" s="2" t="s">
        <v>790</v>
      </c>
      <c r="N1177" s="3" t="s">
        <v>791</v>
      </c>
      <c r="O1177" s="1">
        <v>1</v>
      </c>
      <c r="P1177" s="4">
        <v>54551.25</v>
      </c>
      <c r="Q1177" s="4">
        <v>9488</v>
      </c>
      <c r="R1177" s="4">
        <v>138</v>
      </c>
      <c r="S1177" s="4">
        <v>64177.25</v>
      </c>
      <c r="T1177" s="5">
        <v>880</v>
      </c>
      <c r="U1177" s="5">
        <v>880</v>
      </c>
      <c r="V1177" s="5">
        <v>953</v>
      </c>
      <c r="W1177" s="5">
        <v>953</v>
      </c>
      <c r="X1177" s="4">
        <v>64177.25</v>
      </c>
      <c r="Y1177">
        <v>2280</v>
      </c>
      <c r="Z1177">
        <v>5100</v>
      </c>
      <c r="AA1177">
        <v>1320</v>
      </c>
      <c r="AB1177" s="1">
        <v>15.35</v>
      </c>
    </row>
    <row r="1178" spans="1:28">
      <c r="B1178" s="6" t="str">
        <f t="shared" si="18"/>
        <v>43115-DT1EJ20250101-B-TIIU6459624-BODY</v>
      </c>
      <c r="C1178" t="s">
        <v>785</v>
      </c>
      <c r="D1178" t="s">
        <v>786</v>
      </c>
      <c r="E1178" t="s">
        <v>773</v>
      </c>
      <c r="F1178" t="s">
        <v>774</v>
      </c>
      <c r="G1178" s="1" t="s">
        <v>787</v>
      </c>
      <c r="I1178" s="1" t="s">
        <v>85</v>
      </c>
      <c r="J1178" s="1" t="s">
        <v>904</v>
      </c>
      <c r="K1178" s="1" t="s">
        <v>789</v>
      </c>
      <c r="L1178">
        <v>8707109000</v>
      </c>
      <c r="M1178" s="2" t="s">
        <v>790</v>
      </c>
      <c r="N1178" s="3" t="s">
        <v>791</v>
      </c>
      <c r="O1178" s="1">
        <v>1</v>
      </c>
      <c r="P1178" s="4">
        <v>54551.25</v>
      </c>
      <c r="Q1178" s="4">
        <v>9488</v>
      </c>
      <c r="R1178" s="4">
        <v>138</v>
      </c>
      <c r="S1178" s="4">
        <v>64177.25</v>
      </c>
      <c r="T1178" s="5">
        <v>880</v>
      </c>
      <c r="U1178" s="5">
        <v>880</v>
      </c>
      <c r="V1178" s="5">
        <v>953</v>
      </c>
      <c r="W1178" s="5">
        <v>953</v>
      </c>
      <c r="X1178" s="4">
        <v>64177.25</v>
      </c>
      <c r="Y1178">
        <v>2280</v>
      </c>
      <c r="Z1178">
        <v>5100</v>
      </c>
      <c r="AA1178">
        <v>1320</v>
      </c>
      <c r="AB1178" s="1">
        <v>15.35</v>
      </c>
    </row>
    <row r="1179" spans="1:28">
      <c r="B1179" s="6" t="str">
        <f t="shared" si="18"/>
        <v>43115-DT1EJ20250101-B-TIIU6459624-BODY</v>
      </c>
      <c r="C1179" t="s">
        <v>785</v>
      </c>
      <c r="D1179" t="s">
        <v>786</v>
      </c>
      <c r="E1179" t="s">
        <v>773</v>
      </c>
      <c r="F1179" t="s">
        <v>774</v>
      </c>
      <c r="G1179" s="1" t="s">
        <v>787</v>
      </c>
      <c r="I1179" s="1" t="s">
        <v>85</v>
      </c>
      <c r="J1179" s="1" t="s">
        <v>905</v>
      </c>
      <c r="K1179" s="1" t="s">
        <v>789</v>
      </c>
      <c r="L1179">
        <v>8707109000</v>
      </c>
      <c r="M1179" s="2" t="s">
        <v>790</v>
      </c>
      <c r="N1179" s="3" t="s">
        <v>791</v>
      </c>
      <c r="O1179" s="1">
        <v>1</v>
      </c>
      <c r="P1179" s="4">
        <v>54551.25</v>
      </c>
      <c r="Q1179" s="4">
        <v>9488</v>
      </c>
      <c r="R1179" s="4">
        <v>138</v>
      </c>
      <c r="S1179" s="4">
        <v>64177.25</v>
      </c>
      <c r="T1179" s="5">
        <v>880</v>
      </c>
      <c r="U1179" s="5">
        <v>880</v>
      </c>
      <c r="V1179" s="5">
        <v>953</v>
      </c>
      <c r="W1179" s="5">
        <v>953</v>
      </c>
      <c r="X1179" s="4">
        <v>64177.25</v>
      </c>
      <c r="Y1179">
        <v>2280</v>
      </c>
      <c r="Z1179">
        <v>5100</v>
      </c>
      <c r="AA1179">
        <v>1320</v>
      </c>
      <c r="AB1179" s="1">
        <v>15.35</v>
      </c>
    </row>
    <row r="1180" customHeight="1" spans="1:28">
      <c r="B1180" s="6" t="str">
        <f t="shared" si="18"/>
        <v>43115-DT1EJ20250101-B-TIIU6459645-BODY</v>
      </c>
      <c r="C1180" s="29" t="s">
        <v>785</v>
      </c>
      <c r="D1180" s="30" t="s">
        <v>786</v>
      </c>
      <c r="E1180" s="30" t="s">
        <v>777</v>
      </c>
      <c r="F1180" s="30" t="s">
        <v>778</v>
      </c>
      <c r="G1180" s="31" t="s">
        <v>787</v>
      </c>
      <c r="H1180" s="31"/>
      <c r="I1180" s="31" t="s">
        <v>85</v>
      </c>
      <c r="J1180" s="31" t="s">
        <v>906</v>
      </c>
      <c r="K1180" s="31" t="s">
        <v>789</v>
      </c>
      <c r="L1180" s="31">
        <v>8707109000</v>
      </c>
      <c r="M1180" s="32" t="s">
        <v>790</v>
      </c>
      <c r="N1180" s="33" t="s">
        <v>791</v>
      </c>
      <c r="O1180" s="31">
        <v>1</v>
      </c>
      <c r="P1180" s="34">
        <v>54551.25</v>
      </c>
      <c r="Q1180" s="34">
        <v>9488</v>
      </c>
      <c r="R1180" s="34">
        <v>138</v>
      </c>
      <c r="S1180" s="34">
        <v>64177.25</v>
      </c>
      <c r="T1180" s="35">
        <v>880</v>
      </c>
      <c r="U1180" s="35">
        <v>880</v>
      </c>
      <c r="V1180" s="35">
        <v>953</v>
      </c>
      <c r="W1180" s="35">
        <v>953</v>
      </c>
      <c r="X1180" s="34">
        <v>64177.25</v>
      </c>
      <c r="Y1180" s="31">
        <v>2280</v>
      </c>
      <c r="Z1180" s="31">
        <v>5100</v>
      </c>
      <c r="AA1180" s="31">
        <v>1320</v>
      </c>
      <c r="AB1180" s="31">
        <v>15.35</v>
      </c>
    </row>
    <row r="1181" customHeight="1" spans="1:28">
      <c r="B1181" s="6" t="str">
        <f t="shared" si="18"/>
        <v>43115-DT1EJ20250101-B-TIIU6459645-BODY</v>
      </c>
      <c r="C1181" s="29" t="s">
        <v>785</v>
      </c>
      <c r="D1181" s="30" t="s">
        <v>786</v>
      </c>
      <c r="E1181" s="30" t="s">
        <v>777</v>
      </c>
      <c r="F1181" s="30" t="s">
        <v>778</v>
      </c>
      <c r="G1181" s="31" t="s">
        <v>787</v>
      </c>
      <c r="H1181" s="31"/>
      <c r="I1181" s="31" t="s">
        <v>85</v>
      </c>
      <c r="J1181" s="31" t="s">
        <v>907</v>
      </c>
      <c r="K1181" s="31" t="s">
        <v>789</v>
      </c>
      <c r="L1181" s="31">
        <v>8707109000</v>
      </c>
      <c r="M1181" s="32" t="s">
        <v>790</v>
      </c>
      <c r="N1181" s="33" t="s">
        <v>791</v>
      </c>
      <c r="O1181" s="31">
        <v>1</v>
      </c>
      <c r="P1181" s="34">
        <v>54551.25</v>
      </c>
      <c r="Q1181" s="34">
        <v>9488</v>
      </c>
      <c r="R1181" s="34">
        <v>138</v>
      </c>
      <c r="S1181" s="34">
        <v>64177.25</v>
      </c>
      <c r="T1181" s="35">
        <v>880</v>
      </c>
      <c r="U1181" s="35">
        <v>880</v>
      </c>
      <c r="V1181" s="35">
        <v>953</v>
      </c>
      <c r="W1181" s="35">
        <v>953</v>
      </c>
      <c r="X1181" s="34">
        <v>64177.25</v>
      </c>
      <c r="Y1181" s="31">
        <v>2280</v>
      </c>
      <c r="Z1181" s="31">
        <v>5100</v>
      </c>
      <c r="AA1181" s="31">
        <v>1320</v>
      </c>
      <c r="AB1181" s="31">
        <v>15.35</v>
      </c>
    </row>
    <row r="1182" customHeight="1" spans="1:28">
      <c r="B1182" s="6" t="str">
        <f t="shared" si="18"/>
        <v>43115-DT1EJ20250101-B-TIIU6459645-BODY</v>
      </c>
      <c r="C1182" s="29" t="s">
        <v>785</v>
      </c>
      <c r="D1182" s="30" t="s">
        <v>786</v>
      </c>
      <c r="E1182" s="30" t="s">
        <v>777</v>
      </c>
      <c r="F1182" s="30" t="s">
        <v>778</v>
      </c>
      <c r="G1182" s="31" t="s">
        <v>787</v>
      </c>
      <c r="H1182" s="31"/>
      <c r="I1182" s="31" t="s">
        <v>85</v>
      </c>
      <c r="J1182" s="31" t="s">
        <v>908</v>
      </c>
      <c r="K1182" s="31" t="s">
        <v>789</v>
      </c>
      <c r="L1182" s="31">
        <v>8707109000</v>
      </c>
      <c r="M1182" s="32" t="s">
        <v>790</v>
      </c>
      <c r="N1182" s="33" t="s">
        <v>791</v>
      </c>
      <c r="O1182" s="31">
        <v>1</v>
      </c>
      <c r="P1182" s="34">
        <v>54551.25</v>
      </c>
      <c r="Q1182" s="34">
        <v>9488</v>
      </c>
      <c r="R1182" s="34">
        <v>138</v>
      </c>
      <c r="S1182" s="34">
        <v>64177.25</v>
      </c>
      <c r="T1182" s="35">
        <v>880</v>
      </c>
      <c r="U1182" s="35">
        <v>880</v>
      </c>
      <c r="V1182" s="35">
        <v>953</v>
      </c>
      <c r="W1182" s="35">
        <v>953</v>
      </c>
      <c r="X1182" s="34">
        <v>64177.25</v>
      </c>
      <c r="Y1182" s="31">
        <v>2280</v>
      </c>
      <c r="Z1182" s="31">
        <v>5100</v>
      </c>
      <c r="AA1182" s="31">
        <v>1320</v>
      </c>
      <c r="AB1182" s="31">
        <v>15.35</v>
      </c>
    </row>
    <row r="1183" customHeight="1" spans="1:28">
      <c r="A1183" s="6" t="s">
        <v>909</v>
      </c>
      <c r="B1183" s="6" t="str">
        <f t="shared" si="18"/>
        <v>43115-DT1EJ20250101-B-TIIU6459645-BODY</v>
      </c>
      <c r="C1183" s="29" t="s">
        <v>785</v>
      </c>
      <c r="D1183" s="30" t="s">
        <v>786</v>
      </c>
      <c r="E1183" s="30" t="s">
        <v>777</v>
      </c>
      <c r="F1183" s="30" t="s">
        <v>778</v>
      </c>
      <c r="G1183" s="31" t="s">
        <v>787</v>
      </c>
      <c r="H1183" s="31"/>
      <c r="I1183" s="31" t="s">
        <v>85</v>
      </c>
      <c r="J1183" s="31" t="s">
        <v>910</v>
      </c>
      <c r="K1183" s="31" t="s">
        <v>789</v>
      </c>
      <c r="L1183" s="31">
        <v>8707109000</v>
      </c>
      <c r="M1183" s="32" t="s">
        <v>790</v>
      </c>
      <c r="N1183" s="33" t="s">
        <v>791</v>
      </c>
      <c r="O1183" s="31">
        <v>1</v>
      </c>
      <c r="P1183" s="34">
        <v>54551.25</v>
      </c>
      <c r="Q1183" s="34">
        <v>9488</v>
      </c>
      <c r="R1183" s="34">
        <v>138</v>
      </c>
      <c r="S1183" s="34">
        <v>64177.25</v>
      </c>
      <c r="T1183" s="35">
        <v>880</v>
      </c>
      <c r="U1183" s="35">
        <v>880</v>
      </c>
      <c r="V1183" s="35">
        <v>953</v>
      </c>
      <c r="W1183" s="35">
        <v>953</v>
      </c>
      <c r="X1183" s="34">
        <v>64177.25</v>
      </c>
      <c r="Y1183" s="31">
        <v>2280</v>
      </c>
      <c r="Z1183" s="31">
        <v>5100</v>
      </c>
      <c r="AA1183" s="31">
        <v>1320</v>
      </c>
      <c r="AB1183" s="31">
        <v>15.35</v>
      </c>
    </row>
    <row r="1184" spans="1:28">
      <c r="B1184" s="6" t="str">
        <f t="shared" si="18"/>
        <v>43115-DT1EJ20250101-B-TIIU6459732-BODY</v>
      </c>
      <c r="C1184" t="s">
        <v>785</v>
      </c>
      <c r="D1184" t="s">
        <v>786</v>
      </c>
      <c r="E1184" t="s">
        <v>781</v>
      </c>
      <c r="F1184" t="s">
        <v>782</v>
      </c>
      <c r="G1184" s="1" t="s">
        <v>787</v>
      </c>
      <c r="I1184" s="1" t="s">
        <v>85</v>
      </c>
      <c r="J1184" s="1" t="s">
        <v>911</v>
      </c>
      <c r="K1184" s="1" t="s">
        <v>789</v>
      </c>
      <c r="L1184">
        <v>8707109000</v>
      </c>
      <c r="M1184" s="2" t="s">
        <v>790</v>
      </c>
      <c r="N1184" s="3" t="s">
        <v>791</v>
      </c>
      <c r="O1184" s="1">
        <v>1</v>
      </c>
      <c r="P1184" s="4">
        <v>54551.25</v>
      </c>
      <c r="Q1184" s="4">
        <v>9488</v>
      </c>
      <c r="R1184" s="4">
        <v>138</v>
      </c>
      <c r="S1184" s="4">
        <v>64177.25</v>
      </c>
      <c r="T1184" s="5">
        <v>880</v>
      </c>
      <c r="U1184" s="5">
        <v>880</v>
      </c>
      <c r="V1184" s="5">
        <v>953</v>
      </c>
      <c r="W1184" s="5">
        <v>953</v>
      </c>
      <c r="X1184" s="4">
        <v>64177.25</v>
      </c>
      <c r="Y1184">
        <v>2280</v>
      </c>
      <c r="Z1184">
        <v>5100</v>
      </c>
      <c r="AA1184">
        <v>1320</v>
      </c>
      <c r="AB1184" s="1">
        <v>15.35</v>
      </c>
    </row>
    <row r="1185" spans="2:28">
      <c r="B1185" s="6" t="str">
        <f t="shared" si="18"/>
        <v>43115-DT1EJ20250101-B-TIIU6459732-BODY</v>
      </c>
      <c r="C1185" t="s">
        <v>785</v>
      </c>
      <c r="D1185" t="s">
        <v>786</v>
      </c>
      <c r="E1185" t="s">
        <v>781</v>
      </c>
      <c r="F1185" t="s">
        <v>782</v>
      </c>
      <c r="G1185" s="1" t="s">
        <v>787</v>
      </c>
      <c r="I1185" s="1" t="s">
        <v>85</v>
      </c>
      <c r="J1185" s="1" t="s">
        <v>912</v>
      </c>
      <c r="K1185" s="1" t="s">
        <v>789</v>
      </c>
      <c r="L1185">
        <v>8707109000</v>
      </c>
      <c r="M1185" s="2" t="s">
        <v>790</v>
      </c>
      <c r="N1185" s="3" t="s">
        <v>791</v>
      </c>
      <c r="O1185" s="1">
        <v>1</v>
      </c>
      <c r="P1185" s="4">
        <v>54551.25</v>
      </c>
      <c r="Q1185" s="4">
        <v>9488</v>
      </c>
      <c r="R1185" s="4">
        <v>138</v>
      </c>
      <c r="S1185" s="4">
        <v>64177.25</v>
      </c>
      <c r="T1185" s="5">
        <v>880</v>
      </c>
      <c r="U1185" s="5">
        <v>880</v>
      </c>
      <c r="V1185" s="5">
        <v>953</v>
      </c>
      <c r="W1185" s="5">
        <v>953</v>
      </c>
      <c r="X1185" s="4">
        <v>64177.25</v>
      </c>
      <c r="Y1185">
        <v>2280</v>
      </c>
      <c r="Z1185">
        <v>5100</v>
      </c>
      <c r="AA1185">
        <v>1320</v>
      </c>
      <c r="AB1185" s="1">
        <v>15.35</v>
      </c>
    </row>
    <row r="1186" spans="2:28">
      <c r="B1186" s="6" t="str">
        <f t="shared" si="18"/>
        <v>43115-DT1EJ20250101-B-TIIU6459732-BODY</v>
      </c>
      <c r="C1186" t="s">
        <v>785</v>
      </c>
      <c r="D1186" t="s">
        <v>786</v>
      </c>
      <c r="E1186" t="s">
        <v>781</v>
      </c>
      <c r="F1186" t="s">
        <v>782</v>
      </c>
      <c r="G1186" s="1" t="s">
        <v>787</v>
      </c>
      <c r="I1186" s="1" t="s">
        <v>85</v>
      </c>
      <c r="J1186" s="1" t="s">
        <v>913</v>
      </c>
      <c r="K1186" s="1" t="s">
        <v>789</v>
      </c>
      <c r="L1186">
        <v>8707109000</v>
      </c>
      <c r="M1186" s="2" t="s">
        <v>790</v>
      </c>
      <c r="N1186" s="3" t="s">
        <v>791</v>
      </c>
      <c r="O1186" s="1">
        <v>1</v>
      </c>
      <c r="P1186" s="4">
        <v>54551.25</v>
      </c>
      <c r="Q1186" s="4">
        <v>9488</v>
      </c>
      <c r="R1186" s="4">
        <v>138</v>
      </c>
      <c r="S1186" s="4">
        <v>64177.25</v>
      </c>
      <c r="T1186" s="5">
        <v>880</v>
      </c>
      <c r="U1186" s="5">
        <v>880</v>
      </c>
      <c r="V1186" s="5">
        <v>953</v>
      </c>
      <c r="W1186" s="5">
        <v>953</v>
      </c>
      <c r="X1186" s="4">
        <v>64177.25</v>
      </c>
      <c r="Y1186">
        <v>2280</v>
      </c>
      <c r="Z1186">
        <v>5100</v>
      </c>
      <c r="AA1186">
        <v>1320</v>
      </c>
      <c r="AB1186" s="1">
        <v>15.35</v>
      </c>
    </row>
    <row r="1187" spans="2:28">
      <c r="B1187" s="6" t="str">
        <f t="shared" si="18"/>
        <v>43115-DT1EJ20250101-B-TIIU6459732-BODY</v>
      </c>
      <c r="C1187" t="s">
        <v>785</v>
      </c>
      <c r="D1187" t="s">
        <v>786</v>
      </c>
      <c r="E1187" t="s">
        <v>781</v>
      </c>
      <c r="F1187" t="s">
        <v>782</v>
      </c>
      <c r="G1187" s="1" t="s">
        <v>787</v>
      </c>
      <c r="I1187" s="1" t="s">
        <v>85</v>
      </c>
      <c r="J1187" s="1" t="s">
        <v>914</v>
      </c>
      <c r="K1187" s="1" t="s">
        <v>789</v>
      </c>
      <c r="L1187">
        <v>8707109000</v>
      </c>
      <c r="M1187" s="2" t="s">
        <v>790</v>
      </c>
      <c r="N1187" s="3" t="s">
        <v>791</v>
      </c>
      <c r="O1187" s="1">
        <v>1</v>
      </c>
      <c r="P1187" s="4">
        <v>54551.25</v>
      </c>
      <c r="Q1187" s="4">
        <v>9488</v>
      </c>
      <c r="R1187" s="4">
        <v>138</v>
      </c>
      <c r="S1187" s="4">
        <v>64177.25</v>
      </c>
      <c r="T1187" s="5">
        <v>880</v>
      </c>
      <c r="U1187" s="5">
        <v>880</v>
      </c>
      <c r="V1187" s="5">
        <v>953</v>
      </c>
      <c r="W1187" s="5">
        <v>953</v>
      </c>
      <c r="X1187" s="4">
        <v>64177.25</v>
      </c>
      <c r="Y1187">
        <v>2280</v>
      </c>
      <c r="Z1187">
        <v>5100</v>
      </c>
      <c r="AA1187">
        <v>1320</v>
      </c>
      <c r="AB1187" s="1">
        <v>15.35</v>
      </c>
    </row>
  </sheetData>
  <autoFilter xmlns:etc="http://www.wps.cn/officeDocument/2017/etCustomData" ref="A1:AB1187" etc:filterBottomFollowUsedRange="0">
    <extLst/>
  </autoFilter>
  <sortState ref="A2:AD1188">
    <sortCondition ref="B2:B1187"/>
    <sortCondition ref="J2:J1187"/>
  </sortState>
  <mergeCells count="4">
    <mergeCell ref="AE2:AE4"/>
    <mergeCell ref="AG2:AG4"/>
    <mergeCell ref="AH2:AH4"/>
    <mergeCell ref="AI2:AI4"/>
  </mergeCells>
  <pageMargins left="0.7" right="0.7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13</xdr:col>
                <xdr:colOff>1155700</xdr:colOff>
                <xdr:row>0</xdr:row>
                <xdr:rowOff>152400</xdr:rowOff>
              </from>
              <to>
                <xdr:col>13</xdr:col>
                <xdr:colOff>2374900</xdr:colOff>
                <xdr:row>0</xdr:row>
                <xdr:rowOff>520700</xdr:rowOff>
              </to>
            </anchor>
          </controlPr>
        </control>
      </mc:Choice>
      <mc:Fallback>
        <control shapeId="2049" r:id="rId3" name="CommandButton1"/>
      </mc:Fallback>
    </mc:AlternateContent>
    <mc:AlternateContent xmlns:mc="http://schemas.openxmlformats.org/markup-compatibility/2006">
      <mc:Choice Requires="x14">
        <control shapeId="2050" r:id="rId5" name="CommandButton2">
          <controlPr defaultSize="0" r:id="rId6">
            <anchor moveWithCells="1">
              <from>
                <xdr:col>8</xdr:col>
                <xdr:colOff>361950</xdr:colOff>
                <xdr:row>0</xdr:row>
                <xdr:rowOff>273050</xdr:rowOff>
              </from>
              <to>
                <xdr:col>9</xdr:col>
                <xdr:colOff>171450</xdr:colOff>
                <xdr:row>1</xdr:row>
                <xdr:rowOff>57150</xdr:rowOff>
              </to>
            </anchor>
          </controlPr>
        </control>
      </mc:Choice>
      <mc:Fallback>
        <control shapeId="2050" r:id="rId5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INVOICE</vt:lpstr>
      <vt:lpstr>PL</vt:lpstr>
      <vt:lpstr>数据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云淡风清</cp:lastModifiedBy>
  <dcterms:created xsi:type="dcterms:W3CDTF">2024-05-20T01:42:00Z</dcterms:created>
  <dcterms:modified xsi:type="dcterms:W3CDTF">2026-05-27T02:13:04Z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2052-12.1.0.26375</vt:lpwstr>
  </property>
  <property fmtid="{D5CDD505-2E9C-101B-9397-08002B2CF9AE}" pid="3" name="ICV">
    <vt:lpwstr>74752DC7CC9149A3B8BB519DC6EE21BE</vt:lpwstr>
  </property>
  <property fmtid="{D5CDD505-2E9C-101B-9397-08002B2CF9AE}" pid="4" name="CalculationRule">
    <vt:i4>0</vt:i4>
  </property>
</Properties>
</file>